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/>
  <workbookPr/>
  <mc:AlternateContent xmlns:mc="http://schemas.openxmlformats.org/markup-compatibility/2006">
    <mc:Choice Requires="x15">
      <x15ac:absPath xmlns:x15ac="http://schemas.microsoft.com/office/spreadsheetml/2010/11/ac" url="/Users/sunz/work/projects/PAM/circle_PAM_pipeline/"/>
    </mc:Choice>
  </mc:AlternateContent>
  <bookViews>
    <workbookView xWindow="5480" yWindow="460" windowWidth="27180" windowHeight="18260" tabRatio="500"/>
  </bookViews>
  <sheets>
    <sheet name="cas9_combined" sheetId="11" r:id="rId1"/>
    <sheet name="cas12a_XL_combined" sheetId="10" r:id="rId2"/>
    <sheet name="cas9_XL_5overhang" sheetId="6" r:id="rId3"/>
    <sheet name="cas9_XL_3overhang" sheetId="7" r:id="rId4"/>
    <sheet name="cas9_XL_blunt" sheetId="5" r:id="rId5"/>
    <sheet name="cas12a_XL_5overhang" sheetId="1" r:id="rId6"/>
    <sheet name="cas12a_XL_3overhang" sheetId="2" r:id="rId7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3" i="10" l="1"/>
  <c r="Z33" i="10"/>
  <c r="Y33" i="10"/>
  <c r="X33" i="10"/>
  <c r="W33" i="10"/>
  <c r="V33" i="10"/>
  <c r="U33" i="10"/>
  <c r="T33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B33" i="11"/>
  <c r="C32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Z32" i="10"/>
  <c r="B32" i="10"/>
  <c r="K38" i="11"/>
  <c r="J38" i="11"/>
  <c r="I38" i="11"/>
  <c r="H38" i="11"/>
  <c r="G38" i="11"/>
  <c r="F38" i="11"/>
  <c r="E38" i="11"/>
  <c r="D38" i="11"/>
  <c r="C38" i="11"/>
  <c r="B38" i="11"/>
  <c r="B37" i="11"/>
  <c r="K37" i="11"/>
  <c r="J37" i="11"/>
  <c r="I37" i="11"/>
  <c r="H37" i="11"/>
  <c r="G37" i="11"/>
  <c r="F37" i="11"/>
  <c r="E37" i="11"/>
  <c r="D37" i="11"/>
  <c r="C37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L33" i="11"/>
  <c r="M33" i="11"/>
  <c r="K33" i="11"/>
  <c r="J33" i="11"/>
  <c r="I33" i="11"/>
  <c r="H33" i="11"/>
  <c r="G33" i="11"/>
  <c r="F33" i="11"/>
  <c r="E33" i="11"/>
  <c r="D33" i="11"/>
  <c r="C33" i="11"/>
  <c r="C32" i="11"/>
  <c r="D32" i="11"/>
  <c r="E32" i="11"/>
  <c r="F32" i="11"/>
  <c r="G32" i="11"/>
  <c r="H32" i="11"/>
  <c r="I32" i="11"/>
  <c r="J32" i="11"/>
  <c r="K32" i="11"/>
  <c r="L32" i="11"/>
  <c r="M32" i="11"/>
  <c r="N32" i="11"/>
  <c r="O32" i="11"/>
  <c r="P32" i="11"/>
  <c r="Q32" i="11"/>
  <c r="R32" i="11"/>
  <c r="S32" i="11"/>
  <c r="T32" i="11"/>
  <c r="U32" i="11"/>
  <c r="V32" i="11"/>
  <c r="W32" i="11"/>
  <c r="X32" i="11"/>
  <c r="Y32" i="11"/>
  <c r="B32" i="11"/>
  <c r="AA28" i="11"/>
  <c r="B27" i="11"/>
  <c r="C27" i="11"/>
  <c r="D27" i="11"/>
  <c r="E27" i="11"/>
  <c r="F27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A26" i="11"/>
  <c r="AA25" i="11"/>
  <c r="AA24" i="11"/>
  <c r="AA23" i="11"/>
  <c r="AA22" i="11"/>
  <c r="AA21" i="11"/>
  <c r="AA20" i="11"/>
  <c r="AA19" i="11"/>
  <c r="AA18" i="11"/>
  <c r="AA17" i="11"/>
  <c r="AA16" i="11"/>
  <c r="AA15" i="11"/>
  <c r="AA14" i="11"/>
  <c r="AA13" i="11"/>
  <c r="AA12" i="11"/>
  <c r="AA11" i="11"/>
  <c r="AA10" i="11"/>
  <c r="AA9" i="11"/>
  <c r="AA8" i="11"/>
  <c r="AA7" i="11"/>
  <c r="AA6" i="11"/>
  <c r="AA5" i="11"/>
  <c r="AA4" i="11"/>
  <c r="AA3" i="11"/>
  <c r="AA2" i="11"/>
  <c r="AA17" i="10"/>
  <c r="AA18" i="10"/>
  <c r="AA19" i="10"/>
  <c r="AA20" i="10"/>
  <c r="AA21" i="10"/>
  <c r="AA22" i="10"/>
  <c r="AA23" i="10"/>
  <c r="AA24" i="10"/>
  <c r="AA25" i="10"/>
  <c r="AA26" i="10"/>
  <c r="AA28" i="10"/>
  <c r="B27" i="10"/>
  <c r="C27" i="10"/>
  <c r="D27" i="10"/>
  <c r="E27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A3" i="10"/>
  <c r="AA4" i="10"/>
  <c r="AA5" i="10"/>
  <c r="AA6" i="10"/>
  <c r="AA7" i="10"/>
  <c r="AA8" i="10"/>
  <c r="AA9" i="10"/>
  <c r="AA10" i="10"/>
  <c r="AA11" i="10"/>
  <c r="AA12" i="10"/>
  <c r="AA13" i="10"/>
  <c r="AA14" i="10"/>
  <c r="AA15" i="10"/>
  <c r="AA16" i="10"/>
  <c r="AA2" i="10"/>
</calcChain>
</file>

<file path=xl/sharedStrings.xml><?xml version="1.0" encoding="utf-8"?>
<sst xmlns="http://schemas.openxmlformats.org/spreadsheetml/2006/main" count="24" uniqueCount="11">
  <si>
    <t>Distance
Overhang</t>
  </si>
  <si>
    <t>count</t>
  </si>
  <si>
    <t>Fraction</t>
  </si>
  <si>
    <t>distance 
to PAM</t>
  </si>
  <si>
    <t>Distance to PAM</t>
  </si>
  <si>
    <t>distance to the PAM strand</t>
  </si>
  <si>
    <t>Distance
to PAM</t>
  </si>
  <si>
    <t>distance to PAM on the opposite strand</t>
  </si>
  <si>
    <t>Sum</t>
  </si>
  <si>
    <t>D2</t>
  </si>
  <si>
    <t>D1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</si>
</sst>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5" x14ac:knownFonts="1"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3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</cellXfs>
  <cellStyles count="3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398"/>
  <sheetViews>
    <sheetView tabSelected="1" topLeftCell="A33" workbookViewId="0">
      <selection activeCell="E43" sqref="E43"/>
    </sheetView>
  </sheetViews>
  <sheetFormatPr baseColWidth="10" defaultRowHeight="21" x14ac:dyDescent="0.2"/>
  <cols>
    <col min="1" max="1" width="7.1640625" style="4" customWidth="1"/>
    <col min="2" max="26" width="7.1640625" style="1" customWidth="1"/>
    <col min="27" max="27" width="6.83203125" style="1" customWidth="1"/>
    <col min="28" max="28" width="26.5" style="1" customWidth="1"/>
    <col min="29" max="16384" width="10.83203125" style="1"/>
  </cols>
  <sheetData>
    <row r="1" spans="1:28" s="4" customFormat="1" ht="43" customHeight="1" x14ac:dyDescent="0.2">
      <c r="A1" s="6" t="s">
        <v>6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  <c r="V1" s="3">
        <v>21</v>
      </c>
      <c r="W1" s="3">
        <v>22</v>
      </c>
      <c r="X1" s="3">
        <v>23</v>
      </c>
      <c r="Y1" s="3">
        <v>24</v>
      </c>
      <c r="Z1" s="3">
        <v>25</v>
      </c>
      <c r="AA1" s="4" t="s">
        <v>8</v>
      </c>
      <c r="AB1" s="7" t="s">
        <v>5</v>
      </c>
    </row>
    <row r="2" spans="1:28" ht="43" customHeight="1" x14ac:dyDescent="0.2">
      <c r="A2" s="3">
        <v>1</v>
      </c>
      <c r="B2" s="2">
        <v>1E-4</v>
      </c>
      <c r="C2" s="2">
        <v>1E-4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>
        <v>0</v>
      </c>
      <c r="X2" s="2">
        <v>0</v>
      </c>
      <c r="Y2" s="2">
        <v>0</v>
      </c>
      <c r="Z2" s="2">
        <v>0</v>
      </c>
      <c r="AA2" s="20">
        <f>SUM(B2:Z2)</f>
        <v>2.0000000000000001E-4</v>
      </c>
    </row>
    <row r="3" spans="1:28" ht="43" customHeight="1" x14ac:dyDescent="0.2">
      <c r="A3" s="3">
        <v>2</v>
      </c>
      <c r="B3" s="2">
        <v>5.9999999999999995E-4</v>
      </c>
      <c r="C3" s="2">
        <v>1.6999999999999999E-3</v>
      </c>
      <c r="D3" s="2">
        <v>1.09E-2</v>
      </c>
      <c r="E3" s="2">
        <v>8.9999999999999998E-4</v>
      </c>
      <c r="F3" s="2">
        <v>2.0000000000000001E-4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0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0">
        <f t="shared" ref="AA3:AA27" si="0">SUM(B3:Z3)</f>
        <v>1.43E-2</v>
      </c>
    </row>
    <row r="4" spans="1:28" ht="43" customHeight="1" x14ac:dyDescent="0.2">
      <c r="A4" s="3">
        <v>3</v>
      </c>
      <c r="B4" s="2">
        <v>9.1000000000000004E-3</v>
      </c>
      <c r="C4" s="2">
        <v>1.6500000000000001E-2</v>
      </c>
      <c r="D4" s="2">
        <v>0.77500000000000002</v>
      </c>
      <c r="E4" s="2">
        <v>3.7600000000000001E-2</v>
      </c>
      <c r="F4" s="2">
        <v>4.1000000000000003E-3</v>
      </c>
      <c r="G4" s="2">
        <v>6.9999999999999999E-4</v>
      </c>
      <c r="H4" s="2">
        <v>2.9999999999999997E-4</v>
      </c>
      <c r="I4" s="2">
        <v>5.9999999999999995E-4</v>
      </c>
      <c r="J4" s="2">
        <v>1E-4</v>
      </c>
      <c r="K4" s="2">
        <v>1E-4</v>
      </c>
      <c r="L4" s="2">
        <v>1E-4</v>
      </c>
      <c r="M4" s="2">
        <v>1E-4</v>
      </c>
      <c r="N4" s="2">
        <v>0</v>
      </c>
      <c r="O4" s="2">
        <v>1E-4</v>
      </c>
      <c r="P4" s="2">
        <v>0</v>
      </c>
      <c r="Q4" s="2">
        <v>1E-4</v>
      </c>
      <c r="R4" s="2">
        <v>1E-4</v>
      </c>
      <c r="S4" s="2">
        <v>1E-4</v>
      </c>
      <c r="T4" s="2">
        <v>2.0000000000000001E-4</v>
      </c>
      <c r="U4" s="2">
        <v>0</v>
      </c>
      <c r="V4" s="2">
        <v>0</v>
      </c>
      <c r="W4" s="2">
        <v>0</v>
      </c>
      <c r="X4" s="2">
        <v>1E-4</v>
      </c>
      <c r="Y4" s="2">
        <v>0</v>
      </c>
      <c r="Z4" s="2">
        <v>0</v>
      </c>
      <c r="AA4" s="20">
        <f t="shared" si="0"/>
        <v>0.84499999999999986</v>
      </c>
    </row>
    <row r="5" spans="1:28" ht="43" customHeight="1" x14ac:dyDescent="0.2">
      <c r="A5" s="3">
        <v>4</v>
      </c>
      <c r="B5" s="2">
        <v>0</v>
      </c>
      <c r="C5" s="2">
        <v>2.0000000000000001E-4</v>
      </c>
      <c r="D5" s="2">
        <v>5.9999999999999995E-4</v>
      </c>
      <c r="E5" s="2">
        <v>0.1031</v>
      </c>
      <c r="F5" s="2">
        <v>2.2499999999999999E-2</v>
      </c>
      <c r="G5" s="2">
        <v>1E-4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0">
        <f t="shared" si="0"/>
        <v>0.12649999999999997</v>
      </c>
    </row>
    <row r="6" spans="1:28" ht="43" customHeight="1" x14ac:dyDescent="0.2">
      <c r="A6" s="3">
        <v>5</v>
      </c>
      <c r="B6" s="2">
        <v>0</v>
      </c>
      <c r="C6" s="2">
        <v>0</v>
      </c>
      <c r="D6" s="2">
        <v>1E-4</v>
      </c>
      <c r="E6" s="2">
        <v>8.0000000000000004E-4</v>
      </c>
      <c r="F6" s="2">
        <v>2E-3</v>
      </c>
      <c r="G6" s="2">
        <v>1E-4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0">
        <f t="shared" si="0"/>
        <v>3.0000000000000001E-3</v>
      </c>
    </row>
    <row r="7" spans="1:28" ht="43" customHeight="1" x14ac:dyDescent="0.2">
      <c r="A7" s="3">
        <v>6</v>
      </c>
      <c r="B7" s="2">
        <v>0</v>
      </c>
      <c r="C7" s="2">
        <v>0</v>
      </c>
      <c r="D7" s="2">
        <v>1E-4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1E-4</v>
      </c>
      <c r="X7" s="2">
        <v>0</v>
      </c>
      <c r="Y7" s="2">
        <v>0</v>
      </c>
      <c r="Z7" s="2">
        <v>0</v>
      </c>
      <c r="AA7" s="20">
        <f t="shared" si="0"/>
        <v>2.0000000000000001E-4</v>
      </c>
    </row>
    <row r="8" spans="1:28" ht="43" customHeight="1" x14ac:dyDescent="0.2">
      <c r="A8" s="3">
        <v>7</v>
      </c>
      <c r="B8" s="2">
        <v>0</v>
      </c>
      <c r="C8" s="2">
        <v>0</v>
      </c>
      <c r="D8" s="2">
        <v>1E-4</v>
      </c>
      <c r="E8" s="2">
        <v>1E-4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0">
        <f t="shared" si="0"/>
        <v>2.0000000000000001E-4</v>
      </c>
    </row>
    <row r="9" spans="1:28" ht="43" customHeight="1" x14ac:dyDescent="0.2">
      <c r="A9" s="3">
        <v>8</v>
      </c>
      <c r="B9" s="2">
        <v>0</v>
      </c>
      <c r="C9" s="2">
        <v>0</v>
      </c>
      <c r="D9" s="2">
        <v>1E-4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0">
        <f t="shared" si="0"/>
        <v>1E-4</v>
      </c>
    </row>
    <row r="10" spans="1:28" ht="43" customHeight="1" x14ac:dyDescent="0.2">
      <c r="A10" s="3">
        <v>9</v>
      </c>
      <c r="B10" s="2">
        <v>0</v>
      </c>
      <c r="C10" s="2">
        <v>0</v>
      </c>
      <c r="D10" s="2">
        <v>1E-4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0">
        <f t="shared" si="0"/>
        <v>1E-4</v>
      </c>
    </row>
    <row r="11" spans="1:28" ht="43" customHeight="1" x14ac:dyDescent="0.2">
      <c r="A11" s="3">
        <v>10</v>
      </c>
      <c r="B11" s="2">
        <v>0</v>
      </c>
      <c r="C11" s="2">
        <v>0</v>
      </c>
      <c r="D11" s="2">
        <v>1E-4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0">
        <f t="shared" si="0"/>
        <v>1E-4</v>
      </c>
    </row>
    <row r="12" spans="1:28" ht="43" customHeight="1" x14ac:dyDescent="0.2">
      <c r="A12" s="3">
        <v>11</v>
      </c>
      <c r="B12" s="2">
        <v>0</v>
      </c>
      <c r="C12" s="2">
        <v>0</v>
      </c>
      <c r="D12" s="2">
        <v>2.0000000000000001E-4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1E-4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2.0000000000000001E-4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0">
        <f t="shared" si="0"/>
        <v>5.0000000000000001E-4</v>
      </c>
    </row>
    <row r="13" spans="1:28" ht="43" customHeight="1" x14ac:dyDescent="0.2">
      <c r="A13" s="3">
        <v>12</v>
      </c>
      <c r="B13" s="2">
        <v>0</v>
      </c>
      <c r="C13" s="2">
        <v>0</v>
      </c>
      <c r="D13" s="2">
        <v>2.0000000000000001E-4</v>
      </c>
      <c r="E13" s="2">
        <v>0</v>
      </c>
      <c r="F13" s="2">
        <v>0</v>
      </c>
      <c r="G13" s="2">
        <v>0</v>
      </c>
      <c r="H13" s="2">
        <v>1E-4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0">
        <f t="shared" si="0"/>
        <v>3.0000000000000003E-4</v>
      </c>
    </row>
    <row r="14" spans="1:28" ht="43" customHeight="1" x14ac:dyDescent="0.2">
      <c r="A14" s="3">
        <v>13</v>
      </c>
      <c r="B14" s="2">
        <v>0</v>
      </c>
      <c r="C14" s="2">
        <v>0</v>
      </c>
      <c r="D14" s="2">
        <v>1E-4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0">
        <f t="shared" si="0"/>
        <v>1E-4</v>
      </c>
    </row>
    <row r="15" spans="1:28" ht="43" customHeight="1" x14ac:dyDescent="0.2">
      <c r="A15" s="3">
        <v>14</v>
      </c>
      <c r="B15" s="2">
        <v>0</v>
      </c>
      <c r="C15" s="2">
        <v>0</v>
      </c>
      <c r="D15" s="2">
        <v>1E-4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0">
        <f t="shared" si="0"/>
        <v>1E-4</v>
      </c>
    </row>
    <row r="16" spans="1:28" ht="43" customHeight="1" x14ac:dyDescent="0.2">
      <c r="A16" s="3">
        <v>15</v>
      </c>
      <c r="B16" s="2">
        <v>0</v>
      </c>
      <c r="C16" s="2">
        <v>0</v>
      </c>
      <c r="D16" s="2">
        <v>1E-4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0">
        <f t="shared" si="0"/>
        <v>1E-4</v>
      </c>
    </row>
    <row r="17" spans="1:27" ht="43" customHeight="1" x14ac:dyDescent="0.2">
      <c r="A17" s="3">
        <v>16</v>
      </c>
      <c r="B17" s="2">
        <v>0</v>
      </c>
      <c r="C17" s="2">
        <v>0</v>
      </c>
      <c r="D17" s="2">
        <v>2.0000000000000001E-4</v>
      </c>
      <c r="E17" s="2">
        <v>1E-4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0">
        <f>SUM(B17:Z17)</f>
        <v>3.0000000000000003E-4</v>
      </c>
    </row>
    <row r="18" spans="1:27" ht="43" customHeight="1" x14ac:dyDescent="0.2">
      <c r="A18" s="3">
        <v>17</v>
      </c>
      <c r="B18" s="2">
        <v>0</v>
      </c>
      <c r="C18" s="2">
        <v>0</v>
      </c>
      <c r="D18" s="2">
        <v>2.9999999999999997E-4</v>
      </c>
      <c r="E18" s="2">
        <v>1E-4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0">
        <f t="shared" si="0"/>
        <v>3.9999999999999996E-4</v>
      </c>
    </row>
    <row r="19" spans="1:27" ht="43" customHeight="1" x14ac:dyDescent="0.2">
      <c r="A19" s="3">
        <v>18</v>
      </c>
      <c r="B19" s="2">
        <v>0</v>
      </c>
      <c r="C19" s="2">
        <v>0</v>
      </c>
      <c r="D19" s="2">
        <v>2.9999999999999997E-4</v>
      </c>
      <c r="E19" s="2">
        <v>1E-4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  <c r="AA19" s="20">
        <f t="shared" si="0"/>
        <v>3.9999999999999996E-4</v>
      </c>
    </row>
    <row r="20" spans="1:27" ht="43" customHeight="1" x14ac:dyDescent="0.2">
      <c r="A20" s="3">
        <v>19</v>
      </c>
      <c r="B20" s="2">
        <v>0</v>
      </c>
      <c r="C20" s="2">
        <v>0</v>
      </c>
      <c r="D20" s="2">
        <v>2.9999999999999997E-4</v>
      </c>
      <c r="E20" s="2">
        <v>2.0000000000000001E-4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0">
        <f t="shared" si="0"/>
        <v>5.0000000000000001E-4</v>
      </c>
    </row>
    <row r="21" spans="1:27" ht="43" customHeight="1" x14ac:dyDescent="0.2">
      <c r="A21" s="3">
        <v>20</v>
      </c>
      <c r="B21" s="2">
        <v>0</v>
      </c>
      <c r="C21" s="2">
        <v>0</v>
      </c>
      <c r="D21" s="2">
        <v>4.0000000000000002E-4</v>
      </c>
      <c r="E21" s="2">
        <v>1E-4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0">
        <f t="shared" si="0"/>
        <v>5.0000000000000001E-4</v>
      </c>
    </row>
    <row r="22" spans="1:27" ht="43" customHeight="1" x14ac:dyDescent="0.2">
      <c r="A22" s="3">
        <v>21</v>
      </c>
      <c r="B22" s="2">
        <v>0</v>
      </c>
      <c r="C22" s="2">
        <v>0</v>
      </c>
      <c r="D22" s="2">
        <v>4.0000000000000002E-4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1E-4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20">
        <f t="shared" si="0"/>
        <v>5.0000000000000001E-4</v>
      </c>
    </row>
    <row r="23" spans="1:27" ht="43" customHeight="1" x14ac:dyDescent="0.2">
      <c r="A23" s="3">
        <v>22</v>
      </c>
      <c r="B23" s="2">
        <v>0</v>
      </c>
      <c r="C23" s="2">
        <v>0</v>
      </c>
      <c r="D23" s="2">
        <v>2.0000000000000001E-4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20">
        <f t="shared" si="0"/>
        <v>2.0000000000000001E-4</v>
      </c>
    </row>
    <row r="24" spans="1:27" ht="43" customHeight="1" x14ac:dyDescent="0.2">
      <c r="A24" s="3">
        <v>23</v>
      </c>
      <c r="B24" s="2">
        <v>0</v>
      </c>
      <c r="C24" s="2">
        <v>0</v>
      </c>
      <c r="D24" s="2">
        <v>2.9999999999999997E-4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1E-4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  <c r="AA24" s="20">
        <f t="shared" si="0"/>
        <v>3.9999999999999996E-4</v>
      </c>
    </row>
    <row r="25" spans="1:27" ht="43" customHeight="1" x14ac:dyDescent="0.2">
      <c r="A25" s="3">
        <v>24</v>
      </c>
      <c r="B25" s="2">
        <v>0</v>
      </c>
      <c r="C25" s="2">
        <v>0</v>
      </c>
      <c r="D25" s="2">
        <v>2.0000000000000001E-4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2">
        <v>1E-4</v>
      </c>
      <c r="Y25" s="2">
        <v>0</v>
      </c>
      <c r="Z25" s="2">
        <v>0</v>
      </c>
      <c r="AA25" s="20">
        <f t="shared" si="0"/>
        <v>3.0000000000000003E-4</v>
      </c>
    </row>
    <row r="26" spans="1:27" ht="43" customHeight="1" x14ac:dyDescent="0.2">
      <c r="A26" s="3">
        <v>25</v>
      </c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0">
        <f t="shared" si="0"/>
        <v>0</v>
      </c>
    </row>
    <row r="27" spans="1:27" ht="44" customHeight="1" x14ac:dyDescent="0.2">
      <c r="A27" s="4" t="s">
        <v>8</v>
      </c>
      <c r="B27" s="20">
        <f t="shared" ref="B27:Z27" si="1">SUM(B2:B26)</f>
        <v>9.7999999999999997E-3</v>
      </c>
      <c r="C27" s="20">
        <f t="shared" si="1"/>
        <v>1.8499999999999999E-2</v>
      </c>
      <c r="D27" s="20">
        <f t="shared" si="1"/>
        <v>0.79039999999999966</v>
      </c>
      <c r="E27" s="20">
        <f t="shared" si="1"/>
        <v>0.14309999999999995</v>
      </c>
      <c r="F27" s="20">
        <f t="shared" si="1"/>
        <v>2.8799999999999999E-2</v>
      </c>
      <c r="G27" s="20">
        <f t="shared" si="1"/>
        <v>9.0000000000000008E-4</v>
      </c>
      <c r="H27" s="20">
        <f t="shared" si="1"/>
        <v>3.9999999999999996E-4</v>
      </c>
      <c r="I27" s="20">
        <f t="shared" si="1"/>
        <v>5.9999999999999995E-4</v>
      </c>
      <c r="J27" s="20">
        <f t="shared" si="1"/>
        <v>1E-4</v>
      </c>
      <c r="K27" s="20">
        <f t="shared" si="1"/>
        <v>1E-4</v>
      </c>
      <c r="L27" s="20">
        <f t="shared" si="1"/>
        <v>1E-4</v>
      </c>
      <c r="M27" s="20">
        <f t="shared" si="1"/>
        <v>2.0000000000000001E-4</v>
      </c>
      <c r="N27" s="20">
        <f t="shared" si="1"/>
        <v>0</v>
      </c>
      <c r="O27" s="20">
        <f t="shared" si="1"/>
        <v>1E-4</v>
      </c>
      <c r="P27" s="20">
        <f t="shared" si="1"/>
        <v>0</v>
      </c>
      <c r="Q27" s="20">
        <f t="shared" si="1"/>
        <v>2.0000000000000001E-4</v>
      </c>
      <c r="R27" s="20">
        <f t="shared" si="1"/>
        <v>1E-4</v>
      </c>
      <c r="S27" s="20">
        <f t="shared" si="1"/>
        <v>1E-4</v>
      </c>
      <c r="T27" s="20">
        <f t="shared" si="1"/>
        <v>2.0000000000000001E-4</v>
      </c>
      <c r="U27" s="20">
        <f t="shared" si="1"/>
        <v>3.0000000000000003E-4</v>
      </c>
      <c r="V27" s="20">
        <f t="shared" si="1"/>
        <v>0</v>
      </c>
      <c r="W27" s="20">
        <f t="shared" si="1"/>
        <v>1E-4</v>
      </c>
      <c r="X27" s="20">
        <f t="shared" si="1"/>
        <v>2.0000000000000001E-4</v>
      </c>
      <c r="Y27" s="20">
        <f t="shared" si="1"/>
        <v>0</v>
      </c>
      <c r="Z27" s="20">
        <f t="shared" si="1"/>
        <v>0</v>
      </c>
      <c r="AA27" s="1">
        <f t="shared" si="0"/>
        <v>0.99429999999999941</v>
      </c>
    </row>
    <row r="28" spans="1:27" x14ac:dyDescent="0.2">
      <c r="A28" s="7" t="s">
        <v>7</v>
      </c>
      <c r="AA28" s="1">
        <f>SUM(B28:Z28)</f>
        <v>0</v>
      </c>
    </row>
    <row r="31" spans="1:27" ht="43" customHeight="1" x14ac:dyDescent="0.2">
      <c r="A31" s="3"/>
      <c r="B31" s="3">
        <v>1</v>
      </c>
      <c r="C31" s="3">
        <v>2</v>
      </c>
      <c r="D31" s="3">
        <v>3</v>
      </c>
      <c r="E31" s="3">
        <v>4</v>
      </c>
      <c r="F31" s="3">
        <v>5</v>
      </c>
      <c r="G31" s="3">
        <v>6</v>
      </c>
      <c r="H31" s="3">
        <v>7</v>
      </c>
      <c r="I31" s="3">
        <v>8</v>
      </c>
      <c r="J31" s="3">
        <v>9</v>
      </c>
      <c r="K31" s="3">
        <v>10</v>
      </c>
      <c r="L31" s="3">
        <v>11</v>
      </c>
      <c r="M31" s="3">
        <v>12</v>
      </c>
      <c r="N31" s="3">
        <v>13</v>
      </c>
      <c r="O31" s="3">
        <v>14</v>
      </c>
      <c r="P31" s="3">
        <v>15</v>
      </c>
      <c r="Q31" s="3">
        <v>16</v>
      </c>
      <c r="R31" s="3">
        <v>17</v>
      </c>
      <c r="S31" s="3">
        <v>18</v>
      </c>
      <c r="T31" s="3">
        <v>19</v>
      </c>
      <c r="U31" s="3">
        <v>20</v>
      </c>
      <c r="V31" s="3">
        <v>21</v>
      </c>
      <c r="W31" s="3">
        <v>22</v>
      </c>
      <c r="X31" s="3">
        <v>23</v>
      </c>
      <c r="Y31" s="3">
        <v>24</v>
      </c>
      <c r="Z31" s="3">
        <v>25</v>
      </c>
    </row>
    <row r="32" spans="1:27" ht="43" customHeight="1" x14ac:dyDescent="0.2">
      <c r="A32" s="3" t="s">
        <v>10</v>
      </c>
      <c r="B32" s="19">
        <f>B27</f>
        <v>9.7999999999999997E-3</v>
      </c>
      <c r="C32" s="19">
        <f t="shared" ref="C32:Y32" si="2">C27</f>
        <v>1.8499999999999999E-2</v>
      </c>
      <c r="D32" s="19">
        <f t="shared" si="2"/>
        <v>0.79039999999999966</v>
      </c>
      <c r="E32" s="19">
        <f t="shared" si="2"/>
        <v>0.14309999999999995</v>
      </c>
      <c r="F32" s="19">
        <f t="shared" si="2"/>
        <v>2.8799999999999999E-2</v>
      </c>
      <c r="G32" s="19">
        <f t="shared" si="2"/>
        <v>9.0000000000000008E-4</v>
      </c>
      <c r="H32" s="19">
        <f t="shared" si="2"/>
        <v>3.9999999999999996E-4</v>
      </c>
      <c r="I32" s="19">
        <f t="shared" si="2"/>
        <v>5.9999999999999995E-4</v>
      </c>
      <c r="J32" s="19">
        <f t="shared" si="2"/>
        <v>1E-4</v>
      </c>
      <c r="K32" s="19">
        <f t="shared" si="2"/>
        <v>1E-4</v>
      </c>
      <c r="L32" s="19">
        <f t="shared" si="2"/>
        <v>1E-4</v>
      </c>
      <c r="M32" s="19">
        <f t="shared" si="2"/>
        <v>2.0000000000000001E-4</v>
      </c>
      <c r="N32" s="19">
        <f t="shared" si="2"/>
        <v>0</v>
      </c>
      <c r="O32" s="19">
        <f t="shared" si="2"/>
        <v>1E-4</v>
      </c>
      <c r="P32" s="19">
        <f t="shared" si="2"/>
        <v>0</v>
      </c>
      <c r="Q32" s="19">
        <f t="shared" si="2"/>
        <v>2.0000000000000001E-4</v>
      </c>
      <c r="R32" s="19">
        <f t="shared" si="2"/>
        <v>1E-4</v>
      </c>
      <c r="S32" s="19">
        <f t="shared" si="2"/>
        <v>1E-4</v>
      </c>
      <c r="T32" s="19">
        <f t="shared" si="2"/>
        <v>2.0000000000000001E-4</v>
      </c>
      <c r="U32" s="19">
        <f t="shared" si="2"/>
        <v>3.0000000000000003E-4</v>
      </c>
      <c r="V32" s="19">
        <f t="shared" si="2"/>
        <v>0</v>
      </c>
      <c r="W32" s="19">
        <f t="shared" si="2"/>
        <v>1E-4</v>
      </c>
      <c r="X32" s="19">
        <f t="shared" si="2"/>
        <v>2.0000000000000001E-4</v>
      </c>
      <c r="Y32" s="19">
        <f t="shared" si="2"/>
        <v>0</v>
      </c>
      <c r="Z32" s="19">
        <v>0</v>
      </c>
    </row>
    <row r="33" spans="1:26" ht="43" customHeight="1" x14ac:dyDescent="0.2">
      <c r="A33" s="3" t="s">
        <v>9</v>
      </c>
      <c r="B33" s="19">
        <f>AA2</f>
        <v>2.0000000000000001E-4</v>
      </c>
      <c r="C33" s="19">
        <f>AA3</f>
        <v>1.43E-2</v>
      </c>
      <c r="D33" s="19">
        <f>AA4</f>
        <v>0.84499999999999986</v>
      </c>
      <c r="E33" s="19">
        <f>AA5</f>
        <v>0.12649999999999997</v>
      </c>
      <c r="F33" s="19">
        <f>AA6</f>
        <v>3.0000000000000001E-3</v>
      </c>
      <c r="G33" s="19">
        <f>AA7</f>
        <v>2.0000000000000001E-4</v>
      </c>
      <c r="H33" s="19">
        <f>AA8</f>
        <v>2.0000000000000001E-4</v>
      </c>
      <c r="I33" s="19">
        <f>AA9</f>
        <v>1E-4</v>
      </c>
      <c r="J33" s="19">
        <f>AA10</f>
        <v>1E-4</v>
      </c>
      <c r="K33" s="19">
        <f>AA11</f>
        <v>1E-4</v>
      </c>
      <c r="L33" s="19">
        <f>AA12</f>
        <v>5.0000000000000001E-4</v>
      </c>
      <c r="M33" s="19">
        <f>AA13</f>
        <v>3.0000000000000003E-4</v>
      </c>
      <c r="N33" s="19">
        <f>AA14</f>
        <v>1E-4</v>
      </c>
      <c r="O33" s="19">
        <f>AA15</f>
        <v>1E-4</v>
      </c>
      <c r="P33" s="19">
        <f>AA16</f>
        <v>1E-4</v>
      </c>
      <c r="Q33" s="19">
        <f>AA17</f>
        <v>3.0000000000000003E-4</v>
      </c>
      <c r="R33" s="19">
        <f>AA18</f>
        <v>3.9999999999999996E-4</v>
      </c>
      <c r="S33" s="19">
        <f>AA19</f>
        <v>3.9999999999999996E-4</v>
      </c>
      <c r="T33" s="19">
        <f>AA20</f>
        <v>5.0000000000000001E-4</v>
      </c>
      <c r="U33" s="19">
        <f>AA21</f>
        <v>5.0000000000000001E-4</v>
      </c>
      <c r="V33" s="19">
        <f>AA22</f>
        <v>5.0000000000000001E-4</v>
      </c>
      <c r="W33" s="19">
        <f>AA23</f>
        <v>2.0000000000000001E-4</v>
      </c>
      <c r="X33" s="19">
        <f>AA24</f>
        <v>3.9999999999999996E-4</v>
      </c>
      <c r="Y33" s="19">
        <f>AA25</f>
        <v>3.0000000000000003E-4</v>
      </c>
      <c r="Z33" s="19">
        <f>AA26</f>
        <v>0</v>
      </c>
    </row>
    <row r="34" spans="1:26" ht="16" x14ac:dyDescent="0.2">
      <c r="A34" s="1"/>
    </row>
    <row r="35" spans="1:26" ht="16" x14ac:dyDescent="0.2">
      <c r="A35" s="1"/>
    </row>
    <row r="36" spans="1:26" ht="43" customHeight="1" x14ac:dyDescent="0.2">
      <c r="A36" s="3"/>
      <c r="B36" s="3">
        <v>-10</v>
      </c>
      <c r="C36" s="3">
        <v>-9</v>
      </c>
      <c r="D36" s="3">
        <v>-8</v>
      </c>
      <c r="E36" s="3">
        <v>-7</v>
      </c>
      <c r="F36" s="3">
        <v>-6</v>
      </c>
      <c r="G36" s="3">
        <v>-5</v>
      </c>
      <c r="H36" s="3">
        <v>-4</v>
      </c>
      <c r="I36" s="3">
        <v>-3</v>
      </c>
      <c r="J36" s="3">
        <v>-2</v>
      </c>
      <c r="K36" s="3">
        <v>-1</v>
      </c>
    </row>
    <row r="37" spans="1:26" ht="43" customHeight="1" x14ac:dyDescent="0.2">
      <c r="A37" s="3" t="s">
        <v>10</v>
      </c>
      <c r="B37" s="19">
        <f>K32</f>
        <v>1E-4</v>
      </c>
      <c r="C37" s="19">
        <f>J32</f>
        <v>1E-4</v>
      </c>
      <c r="D37" s="19">
        <f>I32</f>
        <v>5.9999999999999995E-4</v>
      </c>
      <c r="E37" s="19">
        <f>H32</f>
        <v>3.9999999999999996E-4</v>
      </c>
      <c r="F37" s="19">
        <f>G32</f>
        <v>9.0000000000000008E-4</v>
      </c>
      <c r="G37" s="19">
        <f>F32</f>
        <v>2.8799999999999999E-2</v>
      </c>
      <c r="H37" s="19">
        <f>E32</f>
        <v>0.14309999999999995</v>
      </c>
      <c r="I37" s="19">
        <f>D32</f>
        <v>0.79039999999999966</v>
      </c>
      <c r="J37" s="19">
        <f>C32</f>
        <v>1.8499999999999999E-2</v>
      </c>
      <c r="K37" s="19">
        <f>B32</f>
        <v>9.7999999999999997E-3</v>
      </c>
    </row>
    <row r="38" spans="1:26" ht="43" customHeight="1" x14ac:dyDescent="0.2">
      <c r="A38" s="3" t="s">
        <v>9</v>
      </c>
      <c r="B38" s="19">
        <f>K33</f>
        <v>1E-4</v>
      </c>
      <c r="C38" s="19">
        <f>J33</f>
        <v>1E-4</v>
      </c>
      <c r="D38" s="19">
        <f>I33</f>
        <v>1E-4</v>
      </c>
      <c r="E38" s="19">
        <f>H33</f>
        <v>2.0000000000000001E-4</v>
      </c>
      <c r="F38" s="19">
        <f>G33</f>
        <v>2.0000000000000001E-4</v>
      </c>
      <c r="G38" s="19">
        <f>F33</f>
        <v>3.0000000000000001E-3</v>
      </c>
      <c r="H38" s="19">
        <f>E33</f>
        <v>0.12649999999999997</v>
      </c>
      <c r="I38" s="19">
        <f>D33</f>
        <v>0.84499999999999986</v>
      </c>
      <c r="J38" s="19">
        <f>C33</f>
        <v>1.43E-2</v>
      </c>
      <c r="K38" s="19">
        <f>B33</f>
        <v>2.0000000000000001E-4</v>
      </c>
    </row>
    <row r="39" spans="1:26" ht="16" x14ac:dyDescent="0.2">
      <c r="A39" s="1"/>
    </row>
    <row r="40" spans="1:26" ht="16" x14ac:dyDescent="0.2">
      <c r="A40" s="1"/>
    </row>
    <row r="41" spans="1:26" ht="16" x14ac:dyDescent="0.2">
      <c r="A41" s="1"/>
    </row>
    <row r="42" spans="1:26" ht="16" x14ac:dyDescent="0.2">
      <c r="A42" s="1"/>
    </row>
    <row r="43" spans="1:26" ht="16" x14ac:dyDescent="0.2">
      <c r="A43" s="1"/>
    </row>
    <row r="44" spans="1:26" ht="16" x14ac:dyDescent="0.2">
      <c r="A44" s="1"/>
    </row>
    <row r="45" spans="1:26" ht="16" x14ac:dyDescent="0.2">
      <c r="A45" s="1"/>
    </row>
    <row r="46" spans="1:26" ht="16" x14ac:dyDescent="0.2">
      <c r="A46" s="1"/>
    </row>
    <row r="47" spans="1:26" ht="16" x14ac:dyDescent="0.2">
      <c r="A47" s="1"/>
    </row>
    <row r="48" spans="1:26" ht="16" x14ac:dyDescent="0.2">
      <c r="A48" s="1"/>
    </row>
    <row r="49" spans="1:1" ht="16" x14ac:dyDescent="0.2">
      <c r="A49" s="1"/>
    </row>
    <row r="50" spans="1:1" ht="16" x14ac:dyDescent="0.2">
      <c r="A50" s="1"/>
    </row>
    <row r="51" spans="1:1" ht="16" x14ac:dyDescent="0.2">
      <c r="A51" s="1"/>
    </row>
    <row r="52" spans="1:1" ht="16" x14ac:dyDescent="0.2">
      <c r="A52" s="1"/>
    </row>
    <row r="53" spans="1:1" ht="16" x14ac:dyDescent="0.2">
      <c r="A53" s="1"/>
    </row>
    <row r="54" spans="1:1" ht="16" x14ac:dyDescent="0.2">
      <c r="A54" s="1"/>
    </row>
    <row r="55" spans="1:1" ht="16" x14ac:dyDescent="0.2">
      <c r="A55" s="1"/>
    </row>
    <row r="56" spans="1:1" ht="16" x14ac:dyDescent="0.2">
      <c r="A56" s="1"/>
    </row>
    <row r="57" spans="1:1" ht="16" x14ac:dyDescent="0.2">
      <c r="A57" s="1"/>
    </row>
    <row r="58" spans="1:1" ht="16" x14ac:dyDescent="0.2">
      <c r="A58" s="1"/>
    </row>
    <row r="59" spans="1:1" ht="16" x14ac:dyDescent="0.2">
      <c r="A59" s="1"/>
    </row>
    <row r="60" spans="1:1" ht="16" x14ac:dyDescent="0.2">
      <c r="A60" s="1"/>
    </row>
    <row r="61" spans="1:1" ht="16" x14ac:dyDescent="0.2">
      <c r="A61" s="1"/>
    </row>
    <row r="62" spans="1:1" ht="16" x14ac:dyDescent="0.2">
      <c r="A62" s="1"/>
    </row>
    <row r="63" spans="1:1" ht="16" x14ac:dyDescent="0.2">
      <c r="A63" s="1"/>
    </row>
    <row r="64" spans="1:1" ht="16" x14ac:dyDescent="0.2">
      <c r="A64" s="1"/>
    </row>
    <row r="65" spans="1:1" ht="16" x14ac:dyDescent="0.2">
      <c r="A65" s="1"/>
    </row>
    <row r="66" spans="1:1" ht="16" x14ac:dyDescent="0.2">
      <c r="A66" s="1"/>
    </row>
    <row r="67" spans="1:1" ht="16" x14ac:dyDescent="0.2">
      <c r="A67" s="1"/>
    </row>
    <row r="68" spans="1:1" ht="16" x14ac:dyDescent="0.2">
      <c r="A68" s="1"/>
    </row>
    <row r="69" spans="1:1" ht="16" x14ac:dyDescent="0.2">
      <c r="A69" s="1"/>
    </row>
    <row r="70" spans="1:1" ht="16" x14ac:dyDescent="0.2">
      <c r="A70" s="1"/>
    </row>
    <row r="71" spans="1:1" ht="16" x14ac:dyDescent="0.2">
      <c r="A71" s="1"/>
    </row>
    <row r="72" spans="1:1" ht="16" x14ac:dyDescent="0.2">
      <c r="A72" s="1"/>
    </row>
    <row r="73" spans="1:1" ht="16" x14ac:dyDescent="0.2">
      <c r="A73" s="1"/>
    </row>
    <row r="74" spans="1:1" ht="16" x14ac:dyDescent="0.2">
      <c r="A74" s="1"/>
    </row>
    <row r="75" spans="1:1" ht="16" x14ac:dyDescent="0.2">
      <c r="A75" s="1"/>
    </row>
    <row r="76" spans="1:1" ht="16" x14ac:dyDescent="0.2">
      <c r="A76" s="1"/>
    </row>
    <row r="77" spans="1:1" ht="16" x14ac:dyDescent="0.2">
      <c r="A77" s="1"/>
    </row>
    <row r="78" spans="1:1" ht="16" x14ac:dyDescent="0.2">
      <c r="A78" s="1"/>
    </row>
    <row r="79" spans="1:1" ht="16" x14ac:dyDescent="0.2">
      <c r="A79" s="1"/>
    </row>
    <row r="80" spans="1:1" ht="16" x14ac:dyDescent="0.2">
      <c r="A80" s="1"/>
    </row>
    <row r="81" spans="1:1" ht="16" x14ac:dyDescent="0.2">
      <c r="A81" s="1"/>
    </row>
    <row r="82" spans="1:1" ht="16" x14ac:dyDescent="0.2">
      <c r="A82" s="1"/>
    </row>
    <row r="83" spans="1:1" ht="16" x14ac:dyDescent="0.2">
      <c r="A83" s="1"/>
    </row>
    <row r="84" spans="1:1" ht="16" x14ac:dyDescent="0.2">
      <c r="A84" s="1"/>
    </row>
    <row r="85" spans="1:1" ht="16" x14ac:dyDescent="0.2">
      <c r="A85" s="1"/>
    </row>
    <row r="86" spans="1:1" ht="16" x14ac:dyDescent="0.2">
      <c r="A86" s="1"/>
    </row>
    <row r="87" spans="1:1" ht="16" x14ac:dyDescent="0.2">
      <c r="A87" s="1"/>
    </row>
    <row r="88" spans="1:1" ht="16" x14ac:dyDescent="0.2">
      <c r="A88" s="1"/>
    </row>
    <row r="89" spans="1:1" ht="16" x14ac:dyDescent="0.2">
      <c r="A89" s="1"/>
    </row>
    <row r="90" spans="1:1" ht="16" x14ac:dyDescent="0.2">
      <c r="A90" s="1"/>
    </row>
    <row r="91" spans="1:1" ht="16" x14ac:dyDescent="0.2">
      <c r="A91" s="1"/>
    </row>
    <row r="92" spans="1:1" ht="16" x14ac:dyDescent="0.2">
      <c r="A92" s="1"/>
    </row>
    <row r="93" spans="1:1" ht="16" x14ac:dyDescent="0.2">
      <c r="A93" s="1"/>
    </row>
    <row r="94" spans="1:1" ht="16" x14ac:dyDescent="0.2">
      <c r="A94" s="1"/>
    </row>
    <row r="95" spans="1:1" ht="16" x14ac:dyDescent="0.2">
      <c r="A95" s="1"/>
    </row>
    <row r="96" spans="1:1" ht="16" x14ac:dyDescent="0.2">
      <c r="A96" s="1"/>
    </row>
    <row r="97" spans="1:1" ht="16" x14ac:dyDescent="0.2">
      <c r="A97" s="1"/>
    </row>
    <row r="98" spans="1:1" ht="16" x14ac:dyDescent="0.2">
      <c r="A98" s="1"/>
    </row>
    <row r="99" spans="1:1" ht="16" x14ac:dyDescent="0.2">
      <c r="A99" s="1"/>
    </row>
    <row r="100" spans="1:1" ht="16" x14ac:dyDescent="0.2">
      <c r="A100" s="1"/>
    </row>
    <row r="101" spans="1:1" ht="16" x14ac:dyDescent="0.2">
      <c r="A101" s="1"/>
    </row>
    <row r="102" spans="1:1" ht="16" x14ac:dyDescent="0.2">
      <c r="A102" s="1"/>
    </row>
    <row r="103" spans="1:1" ht="16" x14ac:dyDescent="0.2">
      <c r="A103" s="1"/>
    </row>
    <row r="104" spans="1:1" ht="16" x14ac:dyDescent="0.2">
      <c r="A104" s="1"/>
    </row>
    <row r="105" spans="1:1" ht="16" x14ac:dyDescent="0.2">
      <c r="A105" s="1"/>
    </row>
    <row r="106" spans="1:1" ht="16" x14ac:dyDescent="0.2">
      <c r="A106" s="1"/>
    </row>
    <row r="107" spans="1:1" ht="16" x14ac:dyDescent="0.2">
      <c r="A107" s="1"/>
    </row>
    <row r="108" spans="1:1" ht="16" x14ac:dyDescent="0.2">
      <c r="A108" s="1"/>
    </row>
    <row r="109" spans="1:1" ht="16" x14ac:dyDescent="0.2">
      <c r="A109" s="1"/>
    </row>
    <row r="110" spans="1:1" ht="16" x14ac:dyDescent="0.2">
      <c r="A110" s="1"/>
    </row>
    <row r="111" spans="1:1" ht="16" x14ac:dyDescent="0.2">
      <c r="A111" s="1"/>
    </row>
    <row r="112" spans="1:1" ht="16" x14ac:dyDescent="0.2">
      <c r="A112" s="1"/>
    </row>
    <row r="113" spans="1:1" ht="16" x14ac:dyDescent="0.2">
      <c r="A113" s="1"/>
    </row>
    <row r="114" spans="1:1" ht="16" x14ac:dyDescent="0.2">
      <c r="A114" s="1"/>
    </row>
    <row r="115" spans="1:1" ht="16" x14ac:dyDescent="0.2">
      <c r="A115" s="1"/>
    </row>
    <row r="116" spans="1:1" ht="16" x14ac:dyDescent="0.2">
      <c r="A116" s="1"/>
    </row>
    <row r="117" spans="1:1" ht="16" x14ac:dyDescent="0.2">
      <c r="A117" s="1"/>
    </row>
    <row r="118" spans="1:1" ht="16" x14ac:dyDescent="0.2">
      <c r="A118" s="1"/>
    </row>
    <row r="119" spans="1:1" ht="16" x14ac:dyDescent="0.2">
      <c r="A119" s="1"/>
    </row>
    <row r="120" spans="1:1" ht="16" x14ac:dyDescent="0.2">
      <c r="A120" s="1"/>
    </row>
    <row r="121" spans="1:1" ht="16" x14ac:dyDescent="0.2">
      <c r="A121" s="1"/>
    </row>
    <row r="122" spans="1:1" ht="16" x14ac:dyDescent="0.2">
      <c r="A122" s="1"/>
    </row>
    <row r="123" spans="1:1" ht="16" x14ac:dyDescent="0.2">
      <c r="A123" s="1"/>
    </row>
    <row r="124" spans="1:1" ht="16" x14ac:dyDescent="0.2">
      <c r="A124" s="1"/>
    </row>
    <row r="125" spans="1:1" ht="16" x14ac:dyDescent="0.2">
      <c r="A125" s="1"/>
    </row>
    <row r="126" spans="1:1" ht="16" x14ac:dyDescent="0.2">
      <c r="A126" s="1"/>
    </row>
    <row r="127" spans="1:1" ht="16" x14ac:dyDescent="0.2">
      <c r="A127" s="1"/>
    </row>
    <row r="128" spans="1:1" ht="16" x14ac:dyDescent="0.2">
      <c r="A128" s="1"/>
    </row>
    <row r="129" spans="1:1" ht="16" x14ac:dyDescent="0.2">
      <c r="A129" s="1"/>
    </row>
    <row r="130" spans="1:1" ht="16" x14ac:dyDescent="0.2">
      <c r="A130" s="1"/>
    </row>
    <row r="131" spans="1:1" ht="16" x14ac:dyDescent="0.2">
      <c r="A131" s="1"/>
    </row>
    <row r="132" spans="1:1" ht="16" x14ac:dyDescent="0.2">
      <c r="A132" s="1"/>
    </row>
    <row r="133" spans="1:1" ht="16" x14ac:dyDescent="0.2">
      <c r="A133" s="1"/>
    </row>
    <row r="134" spans="1:1" ht="16" x14ac:dyDescent="0.2">
      <c r="A134" s="1"/>
    </row>
    <row r="135" spans="1:1" ht="16" x14ac:dyDescent="0.2">
      <c r="A135" s="1"/>
    </row>
    <row r="136" spans="1:1" ht="16" x14ac:dyDescent="0.2">
      <c r="A136" s="1"/>
    </row>
    <row r="137" spans="1:1" ht="16" x14ac:dyDescent="0.2">
      <c r="A137" s="1"/>
    </row>
    <row r="138" spans="1:1" ht="16" x14ac:dyDescent="0.2">
      <c r="A138" s="1"/>
    </row>
    <row r="139" spans="1:1" ht="16" x14ac:dyDescent="0.2">
      <c r="A139" s="1"/>
    </row>
    <row r="140" spans="1:1" ht="16" x14ac:dyDescent="0.2">
      <c r="A140" s="1"/>
    </row>
    <row r="141" spans="1:1" ht="16" x14ac:dyDescent="0.2">
      <c r="A141" s="1"/>
    </row>
    <row r="142" spans="1:1" ht="16" x14ac:dyDescent="0.2">
      <c r="A142" s="1"/>
    </row>
    <row r="143" spans="1:1" ht="16" x14ac:dyDescent="0.2">
      <c r="A143" s="1"/>
    </row>
    <row r="144" spans="1:1" ht="16" x14ac:dyDescent="0.2">
      <c r="A144" s="1"/>
    </row>
    <row r="145" spans="1:1" ht="16" x14ac:dyDescent="0.2">
      <c r="A145" s="1"/>
    </row>
    <row r="146" spans="1:1" ht="16" x14ac:dyDescent="0.2">
      <c r="A146" s="1"/>
    </row>
    <row r="147" spans="1:1" ht="16" x14ac:dyDescent="0.2">
      <c r="A147" s="1"/>
    </row>
    <row r="148" spans="1:1" ht="16" x14ac:dyDescent="0.2">
      <c r="A148" s="1"/>
    </row>
    <row r="149" spans="1:1" ht="16" x14ac:dyDescent="0.2">
      <c r="A149" s="1"/>
    </row>
    <row r="150" spans="1:1" ht="16" x14ac:dyDescent="0.2">
      <c r="A150" s="1"/>
    </row>
    <row r="151" spans="1:1" ht="16" x14ac:dyDescent="0.2">
      <c r="A151" s="1"/>
    </row>
    <row r="152" spans="1:1" ht="16" x14ac:dyDescent="0.2">
      <c r="A152" s="1"/>
    </row>
    <row r="153" spans="1:1" ht="16" x14ac:dyDescent="0.2">
      <c r="A153" s="1"/>
    </row>
    <row r="154" spans="1:1" ht="16" x14ac:dyDescent="0.2">
      <c r="A154" s="1"/>
    </row>
    <row r="155" spans="1:1" ht="16" x14ac:dyDescent="0.2">
      <c r="A155" s="1"/>
    </row>
    <row r="156" spans="1:1" ht="16" x14ac:dyDescent="0.2">
      <c r="A156" s="1"/>
    </row>
    <row r="157" spans="1:1" ht="16" x14ac:dyDescent="0.2">
      <c r="A157" s="1"/>
    </row>
    <row r="158" spans="1:1" ht="16" x14ac:dyDescent="0.2">
      <c r="A158" s="1"/>
    </row>
    <row r="159" spans="1:1" ht="16" x14ac:dyDescent="0.2">
      <c r="A159" s="1"/>
    </row>
    <row r="160" spans="1:1" ht="16" x14ac:dyDescent="0.2">
      <c r="A160" s="1"/>
    </row>
    <row r="161" spans="1:1" ht="16" x14ac:dyDescent="0.2">
      <c r="A161" s="1"/>
    </row>
    <row r="162" spans="1:1" ht="16" x14ac:dyDescent="0.2">
      <c r="A162" s="1"/>
    </row>
    <row r="163" spans="1:1" ht="16" x14ac:dyDescent="0.2">
      <c r="A163" s="1"/>
    </row>
    <row r="164" spans="1:1" ht="16" x14ac:dyDescent="0.2">
      <c r="A164" s="1"/>
    </row>
    <row r="165" spans="1:1" ht="16" x14ac:dyDescent="0.2">
      <c r="A165" s="1"/>
    </row>
    <row r="166" spans="1:1" ht="16" x14ac:dyDescent="0.2">
      <c r="A166" s="1"/>
    </row>
    <row r="167" spans="1:1" ht="16" x14ac:dyDescent="0.2">
      <c r="A167" s="1"/>
    </row>
    <row r="168" spans="1:1" ht="16" x14ac:dyDescent="0.2">
      <c r="A168" s="1"/>
    </row>
    <row r="169" spans="1:1" ht="16" x14ac:dyDescent="0.2">
      <c r="A169" s="1"/>
    </row>
    <row r="170" spans="1:1" ht="16" x14ac:dyDescent="0.2">
      <c r="A170" s="1"/>
    </row>
    <row r="171" spans="1:1" ht="16" x14ac:dyDescent="0.2">
      <c r="A171" s="1"/>
    </row>
    <row r="172" spans="1:1" ht="16" x14ac:dyDescent="0.2">
      <c r="A172" s="1"/>
    </row>
    <row r="173" spans="1:1" ht="16" x14ac:dyDescent="0.2">
      <c r="A173" s="1"/>
    </row>
    <row r="174" spans="1:1" ht="16" x14ac:dyDescent="0.2">
      <c r="A174" s="1"/>
    </row>
    <row r="175" spans="1:1" ht="16" x14ac:dyDescent="0.2">
      <c r="A175" s="1"/>
    </row>
    <row r="176" spans="1:1" ht="16" x14ac:dyDescent="0.2">
      <c r="A176" s="1"/>
    </row>
    <row r="177" spans="1:1" ht="16" x14ac:dyDescent="0.2">
      <c r="A177" s="1"/>
    </row>
    <row r="178" spans="1:1" ht="16" x14ac:dyDescent="0.2">
      <c r="A178" s="1"/>
    </row>
    <row r="179" spans="1:1" ht="16" x14ac:dyDescent="0.2">
      <c r="A179" s="1"/>
    </row>
    <row r="180" spans="1:1" ht="16" x14ac:dyDescent="0.2">
      <c r="A180" s="1"/>
    </row>
    <row r="181" spans="1:1" ht="16" x14ac:dyDescent="0.2">
      <c r="A181" s="1"/>
    </row>
    <row r="182" spans="1:1" ht="16" x14ac:dyDescent="0.2">
      <c r="A182" s="1"/>
    </row>
    <row r="183" spans="1:1" ht="16" x14ac:dyDescent="0.2">
      <c r="A183" s="1"/>
    </row>
    <row r="184" spans="1:1" ht="16" x14ac:dyDescent="0.2">
      <c r="A184" s="1"/>
    </row>
    <row r="185" spans="1:1" ht="16" x14ac:dyDescent="0.2">
      <c r="A185" s="1"/>
    </row>
    <row r="186" spans="1:1" ht="16" x14ac:dyDescent="0.2">
      <c r="A186" s="1"/>
    </row>
    <row r="187" spans="1:1" ht="16" x14ac:dyDescent="0.2">
      <c r="A187" s="1"/>
    </row>
    <row r="188" spans="1:1" ht="16" x14ac:dyDescent="0.2">
      <c r="A188" s="1"/>
    </row>
    <row r="189" spans="1:1" ht="16" x14ac:dyDescent="0.2">
      <c r="A189" s="1"/>
    </row>
    <row r="190" spans="1:1" ht="16" x14ac:dyDescent="0.2">
      <c r="A190" s="1"/>
    </row>
    <row r="191" spans="1:1" ht="16" x14ac:dyDescent="0.2">
      <c r="A191" s="1"/>
    </row>
    <row r="192" spans="1:1" ht="16" x14ac:dyDescent="0.2">
      <c r="A192" s="1"/>
    </row>
    <row r="193" spans="1:1" ht="16" x14ac:dyDescent="0.2">
      <c r="A193" s="1"/>
    </row>
    <row r="194" spans="1:1" ht="16" x14ac:dyDescent="0.2">
      <c r="A194" s="1"/>
    </row>
    <row r="195" spans="1:1" ht="16" x14ac:dyDescent="0.2">
      <c r="A195" s="1"/>
    </row>
    <row r="196" spans="1:1" ht="16" x14ac:dyDescent="0.2">
      <c r="A196" s="1"/>
    </row>
    <row r="197" spans="1:1" ht="16" x14ac:dyDescent="0.2">
      <c r="A197" s="1"/>
    </row>
    <row r="198" spans="1:1" ht="16" x14ac:dyDescent="0.2">
      <c r="A198" s="1"/>
    </row>
    <row r="199" spans="1:1" ht="16" x14ac:dyDescent="0.2">
      <c r="A199" s="1"/>
    </row>
    <row r="200" spans="1:1" ht="16" x14ac:dyDescent="0.2">
      <c r="A200" s="1"/>
    </row>
    <row r="201" spans="1:1" ht="16" x14ac:dyDescent="0.2">
      <c r="A201" s="1"/>
    </row>
    <row r="202" spans="1:1" ht="16" x14ac:dyDescent="0.2">
      <c r="A202" s="1"/>
    </row>
    <row r="203" spans="1:1" ht="16" x14ac:dyDescent="0.2">
      <c r="A203" s="1"/>
    </row>
    <row r="204" spans="1:1" ht="16" x14ac:dyDescent="0.2">
      <c r="A204" s="1"/>
    </row>
    <row r="205" spans="1:1" ht="16" x14ac:dyDescent="0.2">
      <c r="A205" s="1"/>
    </row>
    <row r="206" spans="1:1" ht="16" x14ac:dyDescent="0.2">
      <c r="A206" s="1"/>
    </row>
    <row r="207" spans="1:1" ht="16" x14ac:dyDescent="0.2">
      <c r="A207" s="1"/>
    </row>
    <row r="208" spans="1:1" ht="16" x14ac:dyDescent="0.2">
      <c r="A208" s="1"/>
    </row>
    <row r="209" spans="1:1" ht="16" x14ac:dyDescent="0.2">
      <c r="A209" s="1"/>
    </row>
    <row r="210" spans="1:1" ht="16" x14ac:dyDescent="0.2">
      <c r="A210" s="1"/>
    </row>
    <row r="211" spans="1:1" ht="16" x14ac:dyDescent="0.2">
      <c r="A211" s="1"/>
    </row>
    <row r="212" spans="1:1" ht="16" x14ac:dyDescent="0.2">
      <c r="A212" s="1"/>
    </row>
    <row r="213" spans="1:1" ht="16" x14ac:dyDescent="0.2">
      <c r="A213" s="1"/>
    </row>
    <row r="214" spans="1:1" ht="16" x14ac:dyDescent="0.2">
      <c r="A214" s="1"/>
    </row>
    <row r="215" spans="1:1" ht="16" x14ac:dyDescent="0.2">
      <c r="A215" s="1"/>
    </row>
    <row r="216" spans="1:1" ht="16" x14ac:dyDescent="0.2">
      <c r="A216" s="1"/>
    </row>
    <row r="217" spans="1:1" ht="16" x14ac:dyDescent="0.2">
      <c r="A217" s="1"/>
    </row>
    <row r="218" spans="1:1" ht="16" x14ac:dyDescent="0.2">
      <c r="A218" s="1"/>
    </row>
    <row r="219" spans="1:1" ht="16" x14ac:dyDescent="0.2">
      <c r="A219" s="1"/>
    </row>
    <row r="220" spans="1:1" ht="16" x14ac:dyDescent="0.2">
      <c r="A220" s="1"/>
    </row>
    <row r="221" spans="1:1" ht="16" x14ac:dyDescent="0.2">
      <c r="A221" s="1"/>
    </row>
    <row r="222" spans="1:1" ht="16" x14ac:dyDescent="0.2">
      <c r="A222" s="1"/>
    </row>
    <row r="223" spans="1:1" ht="16" x14ac:dyDescent="0.2">
      <c r="A223" s="1"/>
    </row>
    <row r="224" spans="1:1" ht="16" x14ac:dyDescent="0.2">
      <c r="A224" s="1"/>
    </row>
    <row r="225" spans="1:1" ht="16" x14ac:dyDescent="0.2">
      <c r="A225" s="1"/>
    </row>
    <row r="226" spans="1:1" ht="16" x14ac:dyDescent="0.2">
      <c r="A226" s="1"/>
    </row>
    <row r="227" spans="1:1" ht="16" x14ac:dyDescent="0.2">
      <c r="A227" s="1"/>
    </row>
    <row r="228" spans="1:1" ht="16" x14ac:dyDescent="0.2">
      <c r="A228" s="1"/>
    </row>
    <row r="229" spans="1:1" ht="16" x14ac:dyDescent="0.2">
      <c r="A229" s="1"/>
    </row>
    <row r="230" spans="1:1" ht="16" x14ac:dyDescent="0.2">
      <c r="A230" s="1"/>
    </row>
    <row r="231" spans="1:1" ht="16" x14ac:dyDescent="0.2">
      <c r="A231" s="1"/>
    </row>
    <row r="232" spans="1:1" ht="16" x14ac:dyDescent="0.2">
      <c r="A232" s="1"/>
    </row>
    <row r="233" spans="1:1" ht="16" x14ac:dyDescent="0.2">
      <c r="A233" s="1"/>
    </row>
    <row r="234" spans="1:1" ht="16" x14ac:dyDescent="0.2">
      <c r="A234" s="1"/>
    </row>
    <row r="235" spans="1:1" ht="16" x14ac:dyDescent="0.2">
      <c r="A235" s="1"/>
    </row>
    <row r="236" spans="1:1" ht="16" x14ac:dyDescent="0.2">
      <c r="A236" s="1"/>
    </row>
    <row r="237" spans="1:1" ht="16" x14ac:dyDescent="0.2">
      <c r="A237" s="1"/>
    </row>
    <row r="238" spans="1:1" ht="16" x14ac:dyDescent="0.2">
      <c r="A238" s="1"/>
    </row>
    <row r="239" spans="1:1" ht="16" x14ac:dyDescent="0.2">
      <c r="A239" s="1"/>
    </row>
    <row r="240" spans="1:1" ht="16" x14ac:dyDescent="0.2">
      <c r="A240" s="1"/>
    </row>
    <row r="241" spans="1:1" ht="16" x14ac:dyDescent="0.2">
      <c r="A241" s="1"/>
    </row>
    <row r="242" spans="1:1" ht="16" x14ac:dyDescent="0.2">
      <c r="A242" s="1"/>
    </row>
    <row r="243" spans="1:1" ht="16" x14ac:dyDescent="0.2">
      <c r="A243" s="1"/>
    </row>
    <row r="244" spans="1:1" ht="16" x14ac:dyDescent="0.2">
      <c r="A244" s="1"/>
    </row>
    <row r="245" spans="1:1" ht="16" x14ac:dyDescent="0.2">
      <c r="A245" s="1"/>
    </row>
    <row r="246" spans="1:1" ht="16" x14ac:dyDescent="0.2">
      <c r="A246" s="1"/>
    </row>
    <row r="247" spans="1:1" ht="16" x14ac:dyDescent="0.2">
      <c r="A247" s="1"/>
    </row>
    <row r="248" spans="1:1" ht="16" x14ac:dyDescent="0.2">
      <c r="A248" s="1"/>
    </row>
    <row r="249" spans="1:1" ht="16" x14ac:dyDescent="0.2">
      <c r="A249" s="1"/>
    </row>
    <row r="250" spans="1:1" ht="16" x14ac:dyDescent="0.2">
      <c r="A250" s="1"/>
    </row>
    <row r="251" spans="1:1" ht="16" x14ac:dyDescent="0.2">
      <c r="A251" s="1"/>
    </row>
    <row r="252" spans="1:1" ht="16" x14ac:dyDescent="0.2">
      <c r="A252" s="1"/>
    </row>
    <row r="253" spans="1:1" ht="16" x14ac:dyDescent="0.2">
      <c r="A253" s="1"/>
    </row>
    <row r="254" spans="1:1" ht="16" x14ac:dyDescent="0.2">
      <c r="A254" s="1"/>
    </row>
    <row r="255" spans="1:1" ht="16" x14ac:dyDescent="0.2">
      <c r="A255" s="1"/>
    </row>
    <row r="256" spans="1:1" ht="16" x14ac:dyDescent="0.2">
      <c r="A256" s="1"/>
    </row>
    <row r="257" spans="1:1" ht="16" x14ac:dyDescent="0.2">
      <c r="A257" s="1"/>
    </row>
    <row r="258" spans="1:1" ht="16" x14ac:dyDescent="0.2">
      <c r="A258" s="1"/>
    </row>
    <row r="259" spans="1:1" ht="16" x14ac:dyDescent="0.2">
      <c r="A259" s="1"/>
    </row>
    <row r="260" spans="1:1" ht="16" x14ac:dyDescent="0.2">
      <c r="A260" s="1"/>
    </row>
    <row r="261" spans="1:1" ht="16" x14ac:dyDescent="0.2">
      <c r="A261" s="1"/>
    </row>
    <row r="262" spans="1:1" ht="16" x14ac:dyDescent="0.2">
      <c r="A262" s="1"/>
    </row>
    <row r="263" spans="1:1" ht="16" x14ac:dyDescent="0.2">
      <c r="A263" s="1"/>
    </row>
    <row r="264" spans="1:1" ht="16" x14ac:dyDescent="0.2">
      <c r="A264" s="1"/>
    </row>
    <row r="265" spans="1:1" ht="16" x14ac:dyDescent="0.2">
      <c r="A265" s="1"/>
    </row>
    <row r="266" spans="1:1" ht="16" x14ac:dyDescent="0.2">
      <c r="A266" s="1"/>
    </row>
    <row r="267" spans="1:1" ht="16" x14ac:dyDescent="0.2">
      <c r="A267" s="1"/>
    </row>
    <row r="268" spans="1:1" ht="16" x14ac:dyDescent="0.2">
      <c r="A268" s="1"/>
    </row>
    <row r="269" spans="1:1" ht="16" x14ac:dyDescent="0.2">
      <c r="A269" s="1"/>
    </row>
    <row r="270" spans="1:1" ht="16" x14ac:dyDescent="0.2">
      <c r="A270" s="1"/>
    </row>
    <row r="271" spans="1:1" ht="16" x14ac:dyDescent="0.2">
      <c r="A271" s="1"/>
    </row>
    <row r="272" spans="1:1" ht="16" x14ac:dyDescent="0.2">
      <c r="A272" s="1"/>
    </row>
    <row r="273" spans="1:1" ht="16" x14ac:dyDescent="0.2">
      <c r="A273" s="1"/>
    </row>
    <row r="274" spans="1:1" ht="16" x14ac:dyDescent="0.2">
      <c r="A274" s="1"/>
    </row>
    <row r="275" spans="1:1" ht="16" x14ac:dyDescent="0.2">
      <c r="A275" s="1"/>
    </row>
    <row r="276" spans="1:1" ht="16" x14ac:dyDescent="0.2">
      <c r="A276" s="1"/>
    </row>
    <row r="277" spans="1:1" ht="16" x14ac:dyDescent="0.2">
      <c r="A277" s="1"/>
    </row>
    <row r="278" spans="1:1" ht="16" x14ac:dyDescent="0.2">
      <c r="A278" s="1"/>
    </row>
    <row r="279" spans="1:1" ht="16" x14ac:dyDescent="0.2">
      <c r="A279" s="1"/>
    </row>
    <row r="280" spans="1:1" ht="16" x14ac:dyDescent="0.2">
      <c r="A280" s="1"/>
    </row>
    <row r="281" spans="1:1" ht="16" x14ac:dyDescent="0.2">
      <c r="A281" s="1"/>
    </row>
    <row r="282" spans="1:1" ht="16" x14ac:dyDescent="0.2">
      <c r="A282" s="1"/>
    </row>
    <row r="283" spans="1:1" ht="16" x14ac:dyDescent="0.2">
      <c r="A283" s="1"/>
    </row>
    <row r="284" spans="1:1" ht="16" x14ac:dyDescent="0.2">
      <c r="A284" s="1"/>
    </row>
    <row r="285" spans="1:1" ht="16" x14ac:dyDescent="0.2">
      <c r="A285" s="1"/>
    </row>
    <row r="286" spans="1:1" ht="16" x14ac:dyDescent="0.2">
      <c r="A286" s="1"/>
    </row>
    <row r="287" spans="1:1" ht="16" x14ac:dyDescent="0.2">
      <c r="A287" s="1"/>
    </row>
    <row r="288" spans="1:1" ht="16" x14ac:dyDescent="0.2">
      <c r="A288" s="1"/>
    </row>
    <row r="289" spans="1:1" ht="16" x14ac:dyDescent="0.2">
      <c r="A289" s="1"/>
    </row>
    <row r="290" spans="1:1" ht="16" x14ac:dyDescent="0.2">
      <c r="A290" s="1"/>
    </row>
    <row r="291" spans="1:1" ht="16" x14ac:dyDescent="0.2">
      <c r="A291" s="1"/>
    </row>
    <row r="292" spans="1:1" ht="16" x14ac:dyDescent="0.2">
      <c r="A292" s="1"/>
    </row>
    <row r="293" spans="1:1" ht="16" x14ac:dyDescent="0.2">
      <c r="A293" s="1"/>
    </row>
    <row r="294" spans="1:1" ht="16" x14ac:dyDescent="0.2">
      <c r="A294" s="1"/>
    </row>
    <row r="295" spans="1:1" ht="16" x14ac:dyDescent="0.2">
      <c r="A295" s="1"/>
    </row>
    <row r="296" spans="1:1" ht="16" x14ac:dyDescent="0.2">
      <c r="A296" s="1"/>
    </row>
    <row r="297" spans="1:1" ht="16" x14ac:dyDescent="0.2">
      <c r="A297" s="1"/>
    </row>
    <row r="298" spans="1:1" ht="16" x14ac:dyDescent="0.2">
      <c r="A298" s="1"/>
    </row>
    <row r="299" spans="1:1" ht="16" x14ac:dyDescent="0.2">
      <c r="A299" s="1"/>
    </row>
    <row r="300" spans="1:1" ht="16" x14ac:dyDescent="0.2">
      <c r="A300" s="1"/>
    </row>
    <row r="301" spans="1:1" ht="16" x14ac:dyDescent="0.2">
      <c r="A301" s="1"/>
    </row>
    <row r="302" spans="1:1" ht="16" x14ac:dyDescent="0.2">
      <c r="A302" s="1"/>
    </row>
    <row r="303" spans="1:1" ht="16" x14ac:dyDescent="0.2">
      <c r="A303" s="1"/>
    </row>
    <row r="304" spans="1:1" ht="16" x14ac:dyDescent="0.2">
      <c r="A304" s="1"/>
    </row>
    <row r="305" spans="1:1" ht="16" x14ac:dyDescent="0.2">
      <c r="A305" s="1"/>
    </row>
    <row r="306" spans="1:1" ht="16" x14ac:dyDescent="0.2">
      <c r="A306" s="1"/>
    </row>
    <row r="307" spans="1:1" ht="16" x14ac:dyDescent="0.2">
      <c r="A307" s="1"/>
    </row>
    <row r="308" spans="1:1" ht="16" x14ac:dyDescent="0.2">
      <c r="A308" s="1"/>
    </row>
    <row r="309" spans="1:1" ht="16" x14ac:dyDescent="0.2">
      <c r="A309" s="1"/>
    </row>
    <row r="310" spans="1:1" ht="16" x14ac:dyDescent="0.2">
      <c r="A310" s="1"/>
    </row>
    <row r="311" spans="1:1" ht="16" x14ac:dyDescent="0.2">
      <c r="A311" s="1"/>
    </row>
    <row r="312" spans="1:1" ht="16" x14ac:dyDescent="0.2">
      <c r="A312" s="1"/>
    </row>
    <row r="313" spans="1:1" ht="16" x14ac:dyDescent="0.2">
      <c r="A313" s="1"/>
    </row>
    <row r="314" spans="1:1" ht="16" x14ac:dyDescent="0.2">
      <c r="A314" s="1"/>
    </row>
    <row r="315" spans="1:1" ht="16" x14ac:dyDescent="0.2">
      <c r="A315" s="1"/>
    </row>
    <row r="316" spans="1:1" ht="16" x14ac:dyDescent="0.2">
      <c r="A316" s="1"/>
    </row>
    <row r="317" spans="1:1" ht="16" x14ac:dyDescent="0.2">
      <c r="A317" s="1"/>
    </row>
    <row r="318" spans="1:1" ht="16" x14ac:dyDescent="0.2">
      <c r="A318" s="1"/>
    </row>
    <row r="319" spans="1:1" ht="16" x14ac:dyDescent="0.2">
      <c r="A319" s="1"/>
    </row>
    <row r="320" spans="1:1" ht="16" x14ac:dyDescent="0.2">
      <c r="A320" s="1"/>
    </row>
    <row r="321" spans="1:1" ht="16" x14ac:dyDescent="0.2">
      <c r="A321" s="1"/>
    </row>
    <row r="322" spans="1:1" ht="16" x14ac:dyDescent="0.2">
      <c r="A322" s="1"/>
    </row>
    <row r="323" spans="1:1" ht="16" x14ac:dyDescent="0.2">
      <c r="A323" s="1"/>
    </row>
    <row r="324" spans="1:1" ht="16" x14ac:dyDescent="0.2">
      <c r="A324" s="1"/>
    </row>
    <row r="325" spans="1:1" ht="16" x14ac:dyDescent="0.2">
      <c r="A325" s="1"/>
    </row>
    <row r="326" spans="1:1" ht="16" x14ac:dyDescent="0.2">
      <c r="A326" s="1"/>
    </row>
    <row r="327" spans="1:1" ht="16" x14ac:dyDescent="0.2">
      <c r="A327" s="1"/>
    </row>
    <row r="328" spans="1:1" ht="16" x14ac:dyDescent="0.2">
      <c r="A328" s="1"/>
    </row>
    <row r="329" spans="1:1" ht="16" x14ac:dyDescent="0.2">
      <c r="A329" s="1"/>
    </row>
    <row r="330" spans="1:1" ht="16" x14ac:dyDescent="0.2">
      <c r="A330" s="1"/>
    </row>
    <row r="331" spans="1:1" ht="16" x14ac:dyDescent="0.2">
      <c r="A331" s="1"/>
    </row>
    <row r="332" spans="1:1" ht="16" x14ac:dyDescent="0.2">
      <c r="A332" s="1"/>
    </row>
    <row r="333" spans="1:1" ht="16" x14ac:dyDescent="0.2">
      <c r="A333" s="1"/>
    </row>
    <row r="334" spans="1:1" ht="16" x14ac:dyDescent="0.2">
      <c r="A334" s="1"/>
    </row>
    <row r="335" spans="1:1" ht="16" x14ac:dyDescent="0.2">
      <c r="A335" s="1"/>
    </row>
    <row r="336" spans="1:1" ht="16" x14ac:dyDescent="0.2">
      <c r="A336" s="1"/>
    </row>
    <row r="337" spans="1:1" ht="16" x14ac:dyDescent="0.2">
      <c r="A337" s="1"/>
    </row>
    <row r="338" spans="1:1" ht="16" x14ac:dyDescent="0.2">
      <c r="A338" s="1"/>
    </row>
    <row r="339" spans="1:1" ht="16" x14ac:dyDescent="0.2">
      <c r="A339" s="1"/>
    </row>
    <row r="340" spans="1:1" ht="16" x14ac:dyDescent="0.2">
      <c r="A340" s="1"/>
    </row>
    <row r="341" spans="1:1" ht="16" x14ac:dyDescent="0.2">
      <c r="A341" s="1"/>
    </row>
    <row r="342" spans="1:1" ht="16" x14ac:dyDescent="0.2">
      <c r="A342" s="1"/>
    </row>
    <row r="343" spans="1:1" ht="16" x14ac:dyDescent="0.2">
      <c r="A343" s="1"/>
    </row>
    <row r="344" spans="1:1" ht="16" x14ac:dyDescent="0.2">
      <c r="A344" s="1"/>
    </row>
    <row r="345" spans="1:1" ht="16" x14ac:dyDescent="0.2">
      <c r="A345" s="1"/>
    </row>
    <row r="346" spans="1:1" ht="16" x14ac:dyDescent="0.2">
      <c r="A346" s="1"/>
    </row>
    <row r="347" spans="1:1" ht="16" x14ac:dyDescent="0.2">
      <c r="A347" s="1"/>
    </row>
    <row r="348" spans="1:1" ht="16" x14ac:dyDescent="0.2">
      <c r="A348" s="1"/>
    </row>
    <row r="349" spans="1:1" ht="16" x14ac:dyDescent="0.2">
      <c r="A349" s="1"/>
    </row>
    <row r="350" spans="1:1" ht="16" x14ac:dyDescent="0.2">
      <c r="A350" s="1"/>
    </row>
    <row r="351" spans="1:1" ht="16" x14ac:dyDescent="0.2">
      <c r="A351" s="1"/>
    </row>
    <row r="352" spans="1:1" ht="16" x14ac:dyDescent="0.2">
      <c r="A352" s="1"/>
    </row>
    <row r="353" spans="1:1" ht="16" x14ac:dyDescent="0.2">
      <c r="A353" s="1"/>
    </row>
    <row r="354" spans="1:1" ht="16" x14ac:dyDescent="0.2">
      <c r="A354" s="1"/>
    </row>
    <row r="355" spans="1:1" ht="16" x14ac:dyDescent="0.2">
      <c r="A355" s="1"/>
    </row>
    <row r="356" spans="1:1" ht="16" x14ac:dyDescent="0.2">
      <c r="A356" s="1"/>
    </row>
    <row r="357" spans="1:1" ht="16" x14ac:dyDescent="0.2">
      <c r="A357" s="1"/>
    </row>
    <row r="358" spans="1:1" ht="16" x14ac:dyDescent="0.2">
      <c r="A358" s="1"/>
    </row>
    <row r="359" spans="1:1" ht="16" x14ac:dyDescent="0.2">
      <c r="A359" s="1"/>
    </row>
    <row r="360" spans="1:1" ht="16" x14ac:dyDescent="0.2">
      <c r="A360" s="1"/>
    </row>
    <row r="361" spans="1:1" ht="16" x14ac:dyDescent="0.2">
      <c r="A361" s="1"/>
    </row>
    <row r="362" spans="1:1" ht="16" x14ac:dyDescent="0.2">
      <c r="A362" s="1"/>
    </row>
    <row r="363" spans="1:1" ht="16" x14ac:dyDescent="0.2">
      <c r="A363" s="1"/>
    </row>
    <row r="364" spans="1:1" ht="16" x14ac:dyDescent="0.2">
      <c r="A364" s="1"/>
    </row>
    <row r="365" spans="1:1" ht="16" x14ac:dyDescent="0.2">
      <c r="A365" s="1"/>
    </row>
    <row r="366" spans="1:1" ht="16" x14ac:dyDescent="0.2">
      <c r="A366" s="1"/>
    </row>
    <row r="367" spans="1:1" ht="16" x14ac:dyDescent="0.2">
      <c r="A367" s="1"/>
    </row>
    <row r="368" spans="1:1" ht="16" x14ac:dyDescent="0.2">
      <c r="A368" s="1"/>
    </row>
    <row r="369" spans="1:1" ht="16" x14ac:dyDescent="0.2">
      <c r="A369" s="1"/>
    </row>
    <row r="370" spans="1:1" ht="16" x14ac:dyDescent="0.2">
      <c r="A370" s="1"/>
    </row>
    <row r="371" spans="1:1" ht="16" x14ac:dyDescent="0.2">
      <c r="A371" s="1"/>
    </row>
    <row r="372" spans="1:1" ht="16" x14ac:dyDescent="0.2">
      <c r="A372" s="1"/>
    </row>
    <row r="373" spans="1:1" ht="16" x14ac:dyDescent="0.2">
      <c r="A373" s="1"/>
    </row>
    <row r="374" spans="1:1" ht="16" x14ac:dyDescent="0.2">
      <c r="A374" s="1"/>
    </row>
    <row r="375" spans="1:1" ht="16" x14ac:dyDescent="0.2">
      <c r="A375" s="1"/>
    </row>
    <row r="376" spans="1:1" ht="16" x14ac:dyDescent="0.2">
      <c r="A376" s="1"/>
    </row>
    <row r="377" spans="1:1" ht="16" x14ac:dyDescent="0.2">
      <c r="A377" s="1"/>
    </row>
    <row r="378" spans="1:1" ht="16" x14ac:dyDescent="0.2">
      <c r="A378" s="1"/>
    </row>
    <row r="379" spans="1:1" ht="16" x14ac:dyDescent="0.2">
      <c r="A379" s="1"/>
    </row>
    <row r="380" spans="1:1" ht="16" x14ac:dyDescent="0.2">
      <c r="A380" s="1"/>
    </row>
    <row r="381" spans="1:1" ht="16" x14ac:dyDescent="0.2">
      <c r="A381" s="1"/>
    </row>
    <row r="382" spans="1:1" ht="16" x14ac:dyDescent="0.2">
      <c r="A382" s="1"/>
    </row>
    <row r="383" spans="1:1" ht="16" x14ac:dyDescent="0.2">
      <c r="A383" s="1"/>
    </row>
    <row r="384" spans="1:1" ht="16" x14ac:dyDescent="0.2">
      <c r="A384" s="1"/>
    </row>
    <row r="385" spans="1:1" ht="16" x14ac:dyDescent="0.2">
      <c r="A385" s="1"/>
    </row>
    <row r="386" spans="1:1" ht="16" x14ac:dyDescent="0.2">
      <c r="A386" s="1"/>
    </row>
    <row r="387" spans="1:1" ht="16" x14ac:dyDescent="0.2">
      <c r="A387" s="1"/>
    </row>
    <row r="388" spans="1:1" ht="16" x14ac:dyDescent="0.2">
      <c r="A388" s="1"/>
    </row>
    <row r="389" spans="1:1" ht="16" x14ac:dyDescent="0.2">
      <c r="A389" s="1"/>
    </row>
    <row r="390" spans="1:1" ht="16" x14ac:dyDescent="0.2">
      <c r="A390" s="1"/>
    </row>
    <row r="391" spans="1:1" ht="16" x14ac:dyDescent="0.2">
      <c r="A391" s="1"/>
    </row>
    <row r="392" spans="1:1" ht="16" x14ac:dyDescent="0.2">
      <c r="A392" s="1"/>
    </row>
    <row r="393" spans="1:1" ht="16" x14ac:dyDescent="0.2">
      <c r="A393" s="1"/>
    </row>
    <row r="394" spans="1:1" ht="16" x14ac:dyDescent="0.2">
      <c r="A394" s="1"/>
    </row>
    <row r="395" spans="1:1" ht="16" x14ac:dyDescent="0.2">
      <c r="A395" s="1"/>
    </row>
    <row r="396" spans="1:1" ht="16" x14ac:dyDescent="0.2">
      <c r="A396" s="1"/>
    </row>
    <row r="397" spans="1:1" ht="16" x14ac:dyDescent="0.2">
      <c r="A397" s="1"/>
    </row>
    <row r="398" spans="1:1" ht="16" x14ac:dyDescent="0.2">
      <c r="A398" s="1"/>
    </row>
  </sheetData>
  <conditionalFormatting sqref="B2:Z26">
    <cfRule type="colorScale" priority="19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22">
      <colorScale>
        <cfvo type="min"/>
        <cfvo type="max"/>
        <color theme="0"/>
        <color rgb="FFFF0000"/>
      </colorScale>
    </cfRule>
  </conditionalFormatting>
  <conditionalFormatting sqref="T12">
    <cfRule type="colorScale" priority="21">
      <colorScale>
        <cfvo type="min"/>
        <cfvo type="max"/>
        <color theme="5" tint="0.79998168889431442"/>
        <color rgb="FFFF0000"/>
      </colorScale>
    </cfRule>
  </conditionalFormatting>
  <conditionalFormatting sqref="B32:Z33">
    <cfRule type="colorScale" priority="1">
      <colorScale>
        <cfvo type="min"/>
        <cfvo type="max"/>
        <color theme="0"/>
        <color rgb="FFFF0000"/>
      </colorScale>
    </cfRule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B37:K38">
    <cfRule type="colorScale" priority="23">
      <colorScale>
        <cfvo type="min"/>
        <cfvo type="max"/>
        <color theme="0"/>
        <color rgb="FFFF0000"/>
      </colorScale>
    </cfRule>
    <cfRule type="colorScale" priority="2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33"/>
  <sheetViews>
    <sheetView topLeftCell="A23" workbookViewId="0">
      <selection activeCell="B34" sqref="B34"/>
    </sheetView>
  </sheetViews>
  <sheetFormatPr baseColWidth="10" defaultRowHeight="21" x14ac:dyDescent="0.2"/>
  <cols>
    <col min="1" max="1" width="7.1640625" style="4" customWidth="1"/>
    <col min="2" max="26" width="7.1640625" style="1" customWidth="1"/>
    <col min="27" max="27" width="6.83203125" style="1" customWidth="1"/>
    <col min="28" max="28" width="26.5" style="1" customWidth="1"/>
    <col min="29" max="16384" width="10.83203125" style="1"/>
  </cols>
  <sheetData>
    <row r="1" spans="1:28" ht="43" customHeight="1" thickBot="1" x14ac:dyDescent="0.25">
      <c r="A1" s="6" t="s">
        <v>4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  <c r="Y1" s="9">
        <v>24</v>
      </c>
      <c r="Z1" s="9">
        <v>25</v>
      </c>
      <c r="AA1" s="4" t="s">
        <v>8</v>
      </c>
      <c r="AB1" s="7" t="s">
        <v>5</v>
      </c>
    </row>
    <row r="2" spans="1:28" ht="43" customHeight="1" x14ac:dyDescent="0.2">
      <c r="A2" s="8">
        <v>1</v>
      </c>
      <c r="B2" s="10">
        <v>1.6999999999999999E-3</v>
      </c>
      <c r="C2" s="11">
        <v>1E-4</v>
      </c>
      <c r="D2" s="11">
        <v>1E-4</v>
      </c>
      <c r="E2" s="11">
        <v>1E-4</v>
      </c>
      <c r="F2" s="11">
        <v>0</v>
      </c>
      <c r="G2" s="11">
        <v>2.0000000000000001E-4</v>
      </c>
      <c r="H2" s="11">
        <v>0</v>
      </c>
      <c r="I2" s="11">
        <v>0</v>
      </c>
      <c r="J2" s="11">
        <v>0</v>
      </c>
      <c r="K2" s="11">
        <v>0</v>
      </c>
      <c r="L2" s="11">
        <v>0</v>
      </c>
      <c r="M2" s="11">
        <v>1E-4</v>
      </c>
      <c r="N2" s="11">
        <v>1E-4</v>
      </c>
      <c r="O2" s="11">
        <v>0</v>
      </c>
      <c r="P2" s="11">
        <v>0</v>
      </c>
      <c r="Q2" s="11">
        <v>0</v>
      </c>
      <c r="R2" s="11">
        <v>1E-4</v>
      </c>
      <c r="S2" s="11">
        <v>1E-4</v>
      </c>
      <c r="T2" s="11">
        <v>1E-4</v>
      </c>
      <c r="U2" s="11">
        <v>0</v>
      </c>
      <c r="V2" s="11">
        <v>1E-4</v>
      </c>
      <c r="W2" s="11">
        <v>0</v>
      </c>
      <c r="X2" s="11">
        <v>0</v>
      </c>
      <c r="Y2" s="11">
        <v>0</v>
      </c>
      <c r="Z2" s="12">
        <v>0</v>
      </c>
      <c r="AA2" s="20">
        <f>SUM(B2:Z2)</f>
        <v>2.7999999999999991E-3</v>
      </c>
    </row>
    <row r="3" spans="1:28" ht="43" customHeight="1" x14ac:dyDescent="0.2">
      <c r="A3" s="8">
        <v>2</v>
      </c>
      <c r="B3" s="13">
        <v>1E-4</v>
      </c>
      <c r="C3" s="14">
        <v>1E-4</v>
      </c>
      <c r="D3" s="14">
        <v>0</v>
      </c>
      <c r="E3" s="14">
        <v>0</v>
      </c>
      <c r="F3" s="14">
        <v>0</v>
      </c>
      <c r="G3" s="14">
        <v>0</v>
      </c>
      <c r="H3" s="14">
        <v>0</v>
      </c>
      <c r="I3" s="14">
        <v>0</v>
      </c>
      <c r="J3" s="14">
        <v>1E-4</v>
      </c>
      <c r="K3" s="14">
        <v>0</v>
      </c>
      <c r="L3" s="14">
        <v>0</v>
      </c>
      <c r="M3" s="14">
        <v>0</v>
      </c>
      <c r="N3" s="14">
        <v>0</v>
      </c>
      <c r="O3" s="14">
        <v>0</v>
      </c>
      <c r="P3" s="14">
        <v>0</v>
      </c>
      <c r="Q3" s="14">
        <v>0</v>
      </c>
      <c r="R3" s="14">
        <v>0</v>
      </c>
      <c r="S3" s="14">
        <v>0</v>
      </c>
      <c r="T3" s="14">
        <v>0</v>
      </c>
      <c r="U3" s="14">
        <v>0</v>
      </c>
      <c r="V3" s="14">
        <v>1E-4</v>
      </c>
      <c r="W3" s="14">
        <v>0</v>
      </c>
      <c r="X3" s="14">
        <v>0</v>
      </c>
      <c r="Y3" s="14">
        <v>0</v>
      </c>
      <c r="Z3" s="15">
        <v>0</v>
      </c>
      <c r="AA3" s="20">
        <f t="shared" ref="AA3:AA27" si="0">SUM(B3:Z3)</f>
        <v>4.0000000000000002E-4</v>
      </c>
    </row>
    <row r="4" spans="1:28" ht="43" customHeight="1" x14ac:dyDescent="0.2">
      <c r="A4" s="8">
        <v>3</v>
      </c>
      <c r="B4" s="13">
        <v>0</v>
      </c>
      <c r="C4" s="14">
        <v>0</v>
      </c>
      <c r="D4" s="14">
        <v>0</v>
      </c>
      <c r="E4" s="14">
        <v>0</v>
      </c>
      <c r="F4" s="14">
        <v>0</v>
      </c>
      <c r="G4" s="14">
        <v>0</v>
      </c>
      <c r="H4" s="14">
        <v>0</v>
      </c>
      <c r="I4" s="14">
        <v>0</v>
      </c>
      <c r="J4" s="14">
        <v>0</v>
      </c>
      <c r="K4" s="14">
        <v>0</v>
      </c>
      <c r="L4" s="14">
        <v>0</v>
      </c>
      <c r="M4" s="14">
        <v>0</v>
      </c>
      <c r="N4" s="14">
        <v>0</v>
      </c>
      <c r="O4" s="14">
        <v>0</v>
      </c>
      <c r="P4" s="14">
        <v>0</v>
      </c>
      <c r="Q4" s="14">
        <v>0</v>
      </c>
      <c r="R4" s="14">
        <v>1E-4</v>
      </c>
      <c r="S4" s="14">
        <v>0</v>
      </c>
      <c r="T4" s="14">
        <v>0</v>
      </c>
      <c r="U4" s="14">
        <v>0</v>
      </c>
      <c r="V4" s="14">
        <v>1E-4</v>
      </c>
      <c r="W4" s="14">
        <v>0</v>
      </c>
      <c r="X4" s="14">
        <v>0</v>
      </c>
      <c r="Y4" s="14">
        <v>0</v>
      </c>
      <c r="Z4" s="15">
        <v>0</v>
      </c>
      <c r="AA4" s="20">
        <f t="shared" si="0"/>
        <v>2.0000000000000001E-4</v>
      </c>
    </row>
    <row r="5" spans="1:28" ht="43" customHeight="1" x14ac:dyDescent="0.2">
      <c r="A5" s="8">
        <v>4</v>
      </c>
      <c r="B5" s="13">
        <v>2.0000000000000001E-4</v>
      </c>
      <c r="C5" s="14">
        <v>1E-4</v>
      </c>
      <c r="D5" s="14">
        <v>1E-4</v>
      </c>
      <c r="E5" s="14">
        <v>2.0000000000000001E-4</v>
      </c>
      <c r="F5" s="14">
        <v>0</v>
      </c>
      <c r="G5" s="14">
        <v>2.0000000000000001E-4</v>
      </c>
      <c r="H5" s="14">
        <v>1E-4</v>
      </c>
      <c r="I5" s="14">
        <v>0</v>
      </c>
      <c r="J5" s="14">
        <v>1E-4</v>
      </c>
      <c r="K5" s="14">
        <v>1E-4</v>
      </c>
      <c r="L5" s="14">
        <v>0</v>
      </c>
      <c r="M5" s="14">
        <v>1E-4</v>
      </c>
      <c r="N5" s="14">
        <v>1E-4</v>
      </c>
      <c r="O5" s="14">
        <v>0</v>
      </c>
      <c r="P5" s="14">
        <v>0</v>
      </c>
      <c r="Q5" s="14">
        <v>0</v>
      </c>
      <c r="R5" s="14">
        <v>2.9999999999999997E-4</v>
      </c>
      <c r="S5" s="14">
        <v>2.0000000000000001E-4</v>
      </c>
      <c r="T5" s="14">
        <v>1E-4</v>
      </c>
      <c r="U5" s="14">
        <v>1E-4</v>
      </c>
      <c r="V5" s="14">
        <v>4.0000000000000002E-4</v>
      </c>
      <c r="W5" s="14">
        <v>1E-4</v>
      </c>
      <c r="X5" s="14">
        <v>0</v>
      </c>
      <c r="Y5" s="14">
        <v>0</v>
      </c>
      <c r="Z5" s="15">
        <v>0</v>
      </c>
      <c r="AA5" s="20">
        <f t="shared" si="0"/>
        <v>2.5000000000000001E-3</v>
      </c>
    </row>
    <row r="6" spans="1:28" ht="43" customHeight="1" x14ac:dyDescent="0.2">
      <c r="A6" s="8">
        <v>5</v>
      </c>
      <c r="B6" s="13">
        <v>1E-4</v>
      </c>
      <c r="C6" s="14">
        <v>0</v>
      </c>
      <c r="D6" s="14">
        <v>0</v>
      </c>
      <c r="E6" s="14">
        <v>0</v>
      </c>
      <c r="F6" s="14">
        <v>0</v>
      </c>
      <c r="G6" s="14">
        <v>1E-4</v>
      </c>
      <c r="H6" s="14">
        <v>0</v>
      </c>
      <c r="I6" s="14">
        <v>0</v>
      </c>
      <c r="J6" s="14">
        <v>0</v>
      </c>
      <c r="K6" s="14">
        <v>0</v>
      </c>
      <c r="L6" s="14">
        <v>0</v>
      </c>
      <c r="M6" s="14">
        <v>0</v>
      </c>
      <c r="N6" s="14">
        <v>0</v>
      </c>
      <c r="O6" s="14">
        <v>0</v>
      </c>
      <c r="P6" s="14">
        <v>0</v>
      </c>
      <c r="Q6" s="14">
        <v>0</v>
      </c>
      <c r="R6" s="14">
        <v>2.0000000000000001E-4</v>
      </c>
      <c r="S6" s="14">
        <v>1E-4</v>
      </c>
      <c r="T6" s="14">
        <v>0</v>
      </c>
      <c r="U6" s="14">
        <v>0</v>
      </c>
      <c r="V6" s="14">
        <v>1E-4</v>
      </c>
      <c r="W6" s="14">
        <v>0</v>
      </c>
      <c r="X6" s="14">
        <v>0</v>
      </c>
      <c r="Y6" s="14">
        <v>0</v>
      </c>
      <c r="Z6" s="15">
        <v>0</v>
      </c>
      <c r="AA6" s="20">
        <f t="shared" si="0"/>
        <v>6.0000000000000006E-4</v>
      </c>
    </row>
    <row r="7" spans="1:28" ht="43" customHeight="1" x14ac:dyDescent="0.2">
      <c r="A7" s="8">
        <v>6</v>
      </c>
      <c r="B7" s="13">
        <v>0</v>
      </c>
      <c r="C7" s="14">
        <v>0</v>
      </c>
      <c r="D7" s="14">
        <v>0</v>
      </c>
      <c r="E7" s="14">
        <v>0</v>
      </c>
      <c r="F7" s="14">
        <v>0</v>
      </c>
      <c r="G7" s="14">
        <v>1E-4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4">
        <v>2.0000000000000001E-4</v>
      </c>
      <c r="S7" s="14">
        <v>1E-4</v>
      </c>
      <c r="T7" s="14">
        <v>0</v>
      </c>
      <c r="U7" s="14">
        <v>0</v>
      </c>
      <c r="V7" s="14">
        <v>0</v>
      </c>
      <c r="W7" s="14">
        <v>0</v>
      </c>
      <c r="X7" s="14">
        <v>0</v>
      </c>
      <c r="Y7" s="14">
        <v>0</v>
      </c>
      <c r="Z7" s="15">
        <v>0</v>
      </c>
      <c r="AA7" s="20">
        <f t="shared" si="0"/>
        <v>4.0000000000000002E-4</v>
      </c>
    </row>
    <row r="8" spans="1:28" ht="43" customHeight="1" x14ac:dyDescent="0.2">
      <c r="A8" s="8">
        <v>7</v>
      </c>
      <c r="B8" s="13">
        <v>0</v>
      </c>
      <c r="C8" s="14">
        <v>0</v>
      </c>
      <c r="D8" s="14">
        <v>0</v>
      </c>
      <c r="E8" s="14">
        <v>0</v>
      </c>
      <c r="F8" s="14">
        <v>0</v>
      </c>
      <c r="G8" s="14">
        <v>0</v>
      </c>
      <c r="H8" s="14">
        <v>1E-4</v>
      </c>
      <c r="I8" s="14">
        <v>1E-4</v>
      </c>
      <c r="J8" s="14">
        <v>0</v>
      </c>
      <c r="K8" s="14">
        <v>0</v>
      </c>
      <c r="L8" s="14">
        <v>0</v>
      </c>
      <c r="M8" s="14">
        <v>1E-4</v>
      </c>
      <c r="N8" s="14">
        <v>0</v>
      </c>
      <c r="O8" s="14">
        <v>0</v>
      </c>
      <c r="P8" s="14">
        <v>0</v>
      </c>
      <c r="Q8" s="14">
        <v>0</v>
      </c>
      <c r="R8" s="14">
        <v>2.9999999999999997E-4</v>
      </c>
      <c r="S8" s="14">
        <v>1E-4</v>
      </c>
      <c r="T8" s="14">
        <v>1E-4</v>
      </c>
      <c r="U8" s="14">
        <v>0</v>
      </c>
      <c r="V8" s="14">
        <v>1E-4</v>
      </c>
      <c r="W8" s="14">
        <v>0</v>
      </c>
      <c r="X8" s="14">
        <v>0</v>
      </c>
      <c r="Y8" s="14">
        <v>0</v>
      </c>
      <c r="Z8" s="15">
        <v>0</v>
      </c>
      <c r="AA8" s="20">
        <f t="shared" si="0"/>
        <v>9.0000000000000019E-4</v>
      </c>
    </row>
    <row r="9" spans="1:28" ht="43" customHeight="1" x14ac:dyDescent="0.2">
      <c r="A9" s="8">
        <v>8</v>
      </c>
      <c r="B9" s="13">
        <v>1E-4</v>
      </c>
      <c r="C9" s="14">
        <v>0</v>
      </c>
      <c r="D9" s="14">
        <v>0</v>
      </c>
      <c r="E9" s="14">
        <v>0</v>
      </c>
      <c r="F9" s="14">
        <v>0</v>
      </c>
      <c r="G9" s="14">
        <v>1E-4</v>
      </c>
      <c r="H9" s="14">
        <v>0</v>
      </c>
      <c r="I9" s="14">
        <v>2.0000000000000001E-4</v>
      </c>
      <c r="J9" s="14">
        <v>1E-4</v>
      </c>
      <c r="K9" s="14">
        <v>0</v>
      </c>
      <c r="L9" s="14">
        <v>0</v>
      </c>
      <c r="M9" s="14">
        <v>1E-4</v>
      </c>
      <c r="N9" s="14">
        <v>2.0000000000000001E-4</v>
      </c>
      <c r="O9" s="14">
        <v>0</v>
      </c>
      <c r="P9" s="14">
        <v>0</v>
      </c>
      <c r="Q9" s="14">
        <v>0</v>
      </c>
      <c r="R9" s="14">
        <v>2.9999999999999997E-4</v>
      </c>
      <c r="S9" s="14">
        <v>2.9999999999999997E-4</v>
      </c>
      <c r="T9" s="14">
        <v>2.0000000000000001E-4</v>
      </c>
      <c r="U9" s="14">
        <v>1E-4</v>
      </c>
      <c r="V9" s="14">
        <v>4.0000000000000002E-4</v>
      </c>
      <c r="W9" s="14">
        <v>1E-4</v>
      </c>
      <c r="X9" s="14">
        <v>1E-4</v>
      </c>
      <c r="Y9" s="14">
        <v>1E-4</v>
      </c>
      <c r="Z9" s="15">
        <v>0</v>
      </c>
      <c r="AA9" s="20">
        <f t="shared" si="0"/>
        <v>2.3999999999999998E-3</v>
      </c>
    </row>
    <row r="10" spans="1:28" ht="43" customHeight="1" x14ac:dyDescent="0.2">
      <c r="A10" s="8">
        <v>9</v>
      </c>
      <c r="B10" s="13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  <c r="I10" s="14">
        <v>0</v>
      </c>
      <c r="J10" s="14">
        <v>1E-4</v>
      </c>
      <c r="K10" s="14">
        <v>0</v>
      </c>
      <c r="L10" s="14">
        <v>0</v>
      </c>
      <c r="M10" s="14">
        <v>0</v>
      </c>
      <c r="N10" s="14">
        <v>1E-4</v>
      </c>
      <c r="O10" s="14">
        <v>0</v>
      </c>
      <c r="P10" s="14">
        <v>0</v>
      </c>
      <c r="Q10" s="14">
        <v>0</v>
      </c>
      <c r="R10" s="14">
        <v>1E-4</v>
      </c>
      <c r="S10" s="14">
        <v>1E-4</v>
      </c>
      <c r="T10" s="14">
        <v>0</v>
      </c>
      <c r="U10" s="14">
        <v>0</v>
      </c>
      <c r="V10" s="14">
        <v>1E-4</v>
      </c>
      <c r="W10" s="14">
        <v>0</v>
      </c>
      <c r="X10" s="14">
        <v>0</v>
      </c>
      <c r="Y10" s="14">
        <v>0</v>
      </c>
      <c r="Z10" s="15">
        <v>0</v>
      </c>
      <c r="AA10" s="20">
        <f t="shared" si="0"/>
        <v>5.0000000000000001E-4</v>
      </c>
    </row>
    <row r="11" spans="1:28" ht="43" customHeight="1" x14ac:dyDescent="0.2">
      <c r="A11" s="8">
        <v>10</v>
      </c>
      <c r="B11" s="13">
        <v>2.0000000000000001E-4</v>
      </c>
      <c r="C11" s="14">
        <v>1E-4</v>
      </c>
      <c r="D11" s="14">
        <v>1E-4</v>
      </c>
      <c r="E11" s="14">
        <v>0</v>
      </c>
      <c r="F11" s="14">
        <v>0</v>
      </c>
      <c r="G11" s="14">
        <v>0</v>
      </c>
      <c r="H11" s="14">
        <v>1E-4</v>
      </c>
      <c r="I11" s="14">
        <v>0</v>
      </c>
      <c r="J11" s="14">
        <v>2.0000000000000001E-4</v>
      </c>
      <c r="K11" s="14">
        <v>1E-4</v>
      </c>
      <c r="L11" s="14">
        <v>0</v>
      </c>
      <c r="M11" s="14">
        <v>1E-4</v>
      </c>
      <c r="N11" s="14">
        <v>1E-4</v>
      </c>
      <c r="O11" s="14">
        <v>1E-4</v>
      </c>
      <c r="P11" s="14">
        <v>1E-4</v>
      </c>
      <c r="Q11" s="14">
        <v>0</v>
      </c>
      <c r="R11" s="14">
        <v>1E-4</v>
      </c>
      <c r="S11" s="14">
        <v>1E-4</v>
      </c>
      <c r="T11" s="14">
        <v>0</v>
      </c>
      <c r="U11" s="14">
        <v>0</v>
      </c>
      <c r="V11" s="14">
        <v>2.0000000000000001E-4</v>
      </c>
      <c r="W11" s="14">
        <v>0</v>
      </c>
      <c r="X11" s="14">
        <v>1E-4</v>
      </c>
      <c r="Y11" s="14">
        <v>0</v>
      </c>
      <c r="Z11" s="15">
        <v>0</v>
      </c>
      <c r="AA11" s="20">
        <f t="shared" si="0"/>
        <v>1.7000000000000003E-3</v>
      </c>
    </row>
    <row r="12" spans="1:28" ht="43" customHeight="1" x14ac:dyDescent="0.2">
      <c r="A12" s="8">
        <v>11</v>
      </c>
      <c r="B12" s="13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1E-4</v>
      </c>
      <c r="N12" s="14">
        <v>0</v>
      </c>
      <c r="O12" s="14">
        <v>0</v>
      </c>
      <c r="P12" s="14">
        <v>0</v>
      </c>
      <c r="Q12" s="14">
        <v>0</v>
      </c>
      <c r="R12" s="14">
        <v>2.0000000000000001E-4</v>
      </c>
      <c r="S12" s="14">
        <v>1E-4</v>
      </c>
      <c r="T12" s="14">
        <v>1E-4</v>
      </c>
      <c r="U12" s="14">
        <v>0</v>
      </c>
      <c r="V12" s="14">
        <v>1E-4</v>
      </c>
      <c r="W12" s="14">
        <v>0</v>
      </c>
      <c r="X12" s="14">
        <v>1E-4</v>
      </c>
      <c r="Y12" s="14">
        <v>0</v>
      </c>
      <c r="Z12" s="15">
        <v>0</v>
      </c>
      <c r="AA12" s="20">
        <f t="shared" si="0"/>
        <v>7.000000000000001E-4</v>
      </c>
    </row>
    <row r="13" spans="1:28" ht="43" customHeight="1" x14ac:dyDescent="0.2">
      <c r="A13" s="8">
        <v>12</v>
      </c>
      <c r="B13" s="13">
        <v>2.0000000000000001E-4</v>
      </c>
      <c r="C13" s="14">
        <v>0</v>
      </c>
      <c r="D13" s="14">
        <v>2.0000000000000001E-4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2.0000000000000001E-4</v>
      </c>
      <c r="K13" s="14">
        <v>0</v>
      </c>
      <c r="L13" s="14">
        <v>1E-4</v>
      </c>
      <c r="M13" s="14">
        <v>2.9999999999999997E-4</v>
      </c>
      <c r="N13" s="14">
        <v>1E-4</v>
      </c>
      <c r="O13" s="14">
        <v>0</v>
      </c>
      <c r="P13" s="14">
        <v>0</v>
      </c>
      <c r="Q13" s="14">
        <v>0</v>
      </c>
      <c r="R13" s="14">
        <v>4.0000000000000002E-4</v>
      </c>
      <c r="S13" s="14">
        <v>1E-4</v>
      </c>
      <c r="T13" s="14">
        <v>1E-4</v>
      </c>
      <c r="U13" s="14">
        <v>0</v>
      </c>
      <c r="V13" s="14">
        <v>2.0000000000000001E-4</v>
      </c>
      <c r="W13" s="14">
        <v>0</v>
      </c>
      <c r="X13" s="14">
        <v>1E-4</v>
      </c>
      <c r="Y13" s="14">
        <v>0</v>
      </c>
      <c r="Z13" s="15">
        <v>0</v>
      </c>
      <c r="AA13" s="20">
        <f t="shared" si="0"/>
        <v>2E-3</v>
      </c>
    </row>
    <row r="14" spans="1:28" ht="43" customHeight="1" x14ac:dyDescent="0.2">
      <c r="A14" s="8">
        <v>13</v>
      </c>
      <c r="B14" s="13">
        <v>2.9999999999999997E-4</v>
      </c>
      <c r="C14" s="14">
        <v>1E-4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1E-4</v>
      </c>
      <c r="N14" s="14">
        <v>1E-4</v>
      </c>
      <c r="O14" s="14">
        <v>0</v>
      </c>
      <c r="P14" s="14">
        <v>0</v>
      </c>
      <c r="Q14" s="14">
        <v>0</v>
      </c>
      <c r="R14" s="14">
        <v>2.0000000000000001E-4</v>
      </c>
      <c r="S14" s="14">
        <v>1E-4</v>
      </c>
      <c r="T14" s="14">
        <v>1E-4</v>
      </c>
      <c r="U14" s="14">
        <v>0</v>
      </c>
      <c r="V14" s="14">
        <v>2.9999999999999997E-4</v>
      </c>
      <c r="W14" s="14">
        <v>0</v>
      </c>
      <c r="X14" s="14">
        <v>1E-4</v>
      </c>
      <c r="Y14" s="14">
        <v>0</v>
      </c>
      <c r="Z14" s="15">
        <v>0</v>
      </c>
      <c r="AA14" s="20">
        <f t="shared" si="0"/>
        <v>1.4E-3</v>
      </c>
    </row>
    <row r="15" spans="1:28" ht="43" customHeight="1" x14ac:dyDescent="0.2">
      <c r="A15" s="8">
        <v>14</v>
      </c>
      <c r="B15" s="13">
        <v>2.0000000000000001E-4</v>
      </c>
      <c r="C15" s="14">
        <v>1E-4</v>
      </c>
      <c r="D15" s="14">
        <v>8.9999999999999998E-4</v>
      </c>
      <c r="E15" s="14">
        <v>0</v>
      </c>
      <c r="F15" s="14">
        <v>1E-4</v>
      </c>
      <c r="G15" s="14">
        <v>0</v>
      </c>
      <c r="H15" s="14">
        <v>0</v>
      </c>
      <c r="I15" s="14">
        <v>0</v>
      </c>
      <c r="J15" s="14">
        <v>0</v>
      </c>
      <c r="K15" s="14">
        <v>0</v>
      </c>
      <c r="L15" s="14">
        <v>0</v>
      </c>
      <c r="M15" s="14">
        <v>0</v>
      </c>
      <c r="N15" s="14">
        <v>1E-4</v>
      </c>
      <c r="O15" s="14">
        <v>0</v>
      </c>
      <c r="P15" s="14">
        <v>0</v>
      </c>
      <c r="Q15" s="14">
        <v>0</v>
      </c>
      <c r="R15" s="14">
        <v>2.0000000000000001E-4</v>
      </c>
      <c r="S15" s="14">
        <v>1E-4</v>
      </c>
      <c r="T15" s="14">
        <v>1E-4</v>
      </c>
      <c r="U15" s="14">
        <v>0</v>
      </c>
      <c r="V15" s="14">
        <v>2.9999999999999997E-4</v>
      </c>
      <c r="W15" s="14">
        <v>0</v>
      </c>
      <c r="X15" s="14">
        <v>0</v>
      </c>
      <c r="Y15" s="14">
        <v>0</v>
      </c>
      <c r="Z15" s="15">
        <v>0</v>
      </c>
      <c r="AA15" s="20">
        <f t="shared" si="0"/>
        <v>2.1000000000000003E-3</v>
      </c>
    </row>
    <row r="16" spans="1:28" ht="43" customHeight="1" x14ac:dyDescent="0.2">
      <c r="A16" s="8">
        <v>15</v>
      </c>
      <c r="B16" s="13">
        <v>0</v>
      </c>
      <c r="C16" s="14">
        <v>0</v>
      </c>
      <c r="D16" s="14">
        <v>1E-4</v>
      </c>
      <c r="E16" s="14">
        <v>1E-4</v>
      </c>
      <c r="F16" s="14">
        <v>0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1E-4</v>
      </c>
      <c r="N16" s="14">
        <v>1E-4</v>
      </c>
      <c r="O16" s="14">
        <v>1E-4</v>
      </c>
      <c r="P16" s="14">
        <v>1E-4</v>
      </c>
      <c r="Q16" s="14">
        <v>0</v>
      </c>
      <c r="R16" s="14">
        <v>2.9999999999999997E-4</v>
      </c>
      <c r="S16" s="14">
        <v>2.0000000000000001E-4</v>
      </c>
      <c r="T16" s="14">
        <v>1E-4</v>
      </c>
      <c r="U16" s="14">
        <v>1E-4</v>
      </c>
      <c r="V16" s="14">
        <v>2.0000000000000001E-4</v>
      </c>
      <c r="W16" s="14">
        <v>0</v>
      </c>
      <c r="X16" s="14">
        <v>0</v>
      </c>
      <c r="Y16" s="14">
        <v>0</v>
      </c>
      <c r="Z16" s="15">
        <v>0</v>
      </c>
      <c r="AA16" s="20">
        <f t="shared" si="0"/>
        <v>1.5000000000000002E-3</v>
      </c>
    </row>
    <row r="17" spans="1:27" ht="43" customHeight="1" x14ac:dyDescent="0.2">
      <c r="A17" s="8">
        <v>16</v>
      </c>
      <c r="B17" s="13">
        <v>1E-4</v>
      </c>
      <c r="C17" s="14">
        <v>1E-4</v>
      </c>
      <c r="D17" s="14">
        <v>2.9999999999999997E-4</v>
      </c>
      <c r="E17" s="14">
        <v>2.9999999999999997E-4</v>
      </c>
      <c r="F17" s="14">
        <v>2.0000000000000001E-4</v>
      </c>
      <c r="G17" s="14">
        <v>0</v>
      </c>
      <c r="H17" s="14">
        <v>0</v>
      </c>
      <c r="I17" s="14">
        <v>0</v>
      </c>
      <c r="J17" s="14">
        <v>0</v>
      </c>
      <c r="K17" s="14">
        <v>0</v>
      </c>
      <c r="L17" s="14">
        <v>0</v>
      </c>
      <c r="M17" s="14">
        <v>0</v>
      </c>
      <c r="N17" s="14">
        <v>2.0000000000000001E-4</v>
      </c>
      <c r="O17" s="14">
        <v>2.0000000000000001E-4</v>
      </c>
      <c r="P17" s="14">
        <v>0</v>
      </c>
      <c r="Q17" s="14">
        <v>1E-4</v>
      </c>
      <c r="R17" s="14">
        <v>2.0000000000000001E-4</v>
      </c>
      <c r="S17" s="14">
        <v>2.0000000000000001E-4</v>
      </c>
      <c r="T17" s="14">
        <v>1E-4</v>
      </c>
      <c r="U17" s="14">
        <v>0</v>
      </c>
      <c r="V17" s="14">
        <v>1E-4</v>
      </c>
      <c r="W17" s="14">
        <v>0</v>
      </c>
      <c r="X17" s="14">
        <v>1E-4</v>
      </c>
      <c r="Y17" s="14">
        <v>0</v>
      </c>
      <c r="Z17" s="15">
        <v>0</v>
      </c>
      <c r="AA17" s="20">
        <f>SUM(B17:Z17)</f>
        <v>2.2000000000000001E-3</v>
      </c>
    </row>
    <row r="18" spans="1:27" ht="43" customHeight="1" x14ac:dyDescent="0.2">
      <c r="A18" s="8">
        <v>17</v>
      </c>
      <c r="B18" s="13">
        <v>1E-4</v>
      </c>
      <c r="C18" s="14">
        <v>0</v>
      </c>
      <c r="D18" s="14">
        <v>4.0000000000000002E-4</v>
      </c>
      <c r="E18" s="14">
        <v>4.0000000000000002E-4</v>
      </c>
      <c r="F18" s="14">
        <v>4.0000000000000002E-4</v>
      </c>
      <c r="G18" s="14">
        <v>2.0000000000000001E-4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1E-4</v>
      </c>
      <c r="O18" s="14">
        <v>2.0000000000000001E-4</v>
      </c>
      <c r="P18" s="14">
        <v>1E-4</v>
      </c>
      <c r="Q18" s="14">
        <v>0</v>
      </c>
      <c r="R18" s="14">
        <v>1E-4</v>
      </c>
      <c r="S18" s="14">
        <v>2.0000000000000001E-4</v>
      </c>
      <c r="T18" s="14">
        <v>0</v>
      </c>
      <c r="U18" s="14">
        <v>0</v>
      </c>
      <c r="V18" s="14">
        <v>1E-4</v>
      </c>
      <c r="W18" s="14">
        <v>0</v>
      </c>
      <c r="X18" s="14">
        <v>0</v>
      </c>
      <c r="Y18" s="14">
        <v>0</v>
      </c>
      <c r="Z18" s="15">
        <v>0</v>
      </c>
      <c r="AA18" s="20">
        <f t="shared" si="0"/>
        <v>2.3E-3</v>
      </c>
    </row>
    <row r="19" spans="1:27" ht="43" customHeight="1" x14ac:dyDescent="0.2">
      <c r="A19" s="8">
        <v>18</v>
      </c>
      <c r="B19" s="13">
        <v>0</v>
      </c>
      <c r="C19" s="14">
        <v>0</v>
      </c>
      <c r="D19" s="14">
        <v>2.0000000000000001E-4</v>
      </c>
      <c r="E19" s="14">
        <v>2.0000000000000001E-4</v>
      </c>
      <c r="F19" s="14">
        <v>2.0000000000000001E-4</v>
      </c>
      <c r="G19" s="14">
        <v>2.9999999999999997E-4</v>
      </c>
      <c r="H19" s="14">
        <v>2.0000000000000001E-4</v>
      </c>
      <c r="I19" s="14">
        <v>0</v>
      </c>
      <c r="J19" s="14">
        <v>0</v>
      </c>
      <c r="K19" s="14">
        <v>0</v>
      </c>
      <c r="L19" s="14">
        <v>0</v>
      </c>
      <c r="M19" s="14">
        <v>0</v>
      </c>
      <c r="N19" s="14">
        <v>0</v>
      </c>
      <c r="O19" s="14">
        <v>1E-4</v>
      </c>
      <c r="P19" s="14">
        <v>1E-4</v>
      </c>
      <c r="Q19" s="14">
        <v>0</v>
      </c>
      <c r="R19" s="14">
        <v>1E-4</v>
      </c>
      <c r="S19" s="14">
        <v>1E-4</v>
      </c>
      <c r="T19" s="14">
        <v>2.0000000000000001E-4</v>
      </c>
      <c r="U19" s="14">
        <v>0</v>
      </c>
      <c r="V19" s="14">
        <v>1E-4</v>
      </c>
      <c r="W19" s="14">
        <v>0</v>
      </c>
      <c r="X19" s="14">
        <v>1E-4</v>
      </c>
      <c r="Y19" s="14">
        <v>0</v>
      </c>
      <c r="Z19" s="15">
        <v>0</v>
      </c>
      <c r="AA19" s="20">
        <f t="shared" si="0"/>
        <v>1.9000000000000004E-3</v>
      </c>
    </row>
    <row r="20" spans="1:27" ht="43" customHeight="1" x14ac:dyDescent="0.2">
      <c r="A20" s="8">
        <v>19</v>
      </c>
      <c r="B20" s="13">
        <v>1E-4</v>
      </c>
      <c r="C20" s="14">
        <v>0</v>
      </c>
      <c r="D20" s="14">
        <v>2.9999999999999997E-4</v>
      </c>
      <c r="E20" s="14">
        <v>1E-4</v>
      </c>
      <c r="F20" s="14">
        <v>2.0000000000000001E-4</v>
      </c>
      <c r="G20" s="14">
        <v>2.9999999999999997E-4</v>
      </c>
      <c r="H20" s="14">
        <v>5.0000000000000001E-4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2.0000000000000001E-4</v>
      </c>
      <c r="O20" s="14">
        <v>6.9999999999999999E-4</v>
      </c>
      <c r="P20" s="14">
        <v>3.3999999999999998E-3</v>
      </c>
      <c r="Q20" s="14">
        <v>1.1999999999999999E-3</v>
      </c>
      <c r="R20" s="14">
        <v>6.9999999999999999E-4</v>
      </c>
      <c r="S20" s="14">
        <v>5.9999999999999995E-4</v>
      </c>
      <c r="T20" s="14">
        <v>1.2999999999999999E-3</v>
      </c>
      <c r="U20" s="14">
        <v>2.9999999999999997E-4</v>
      </c>
      <c r="V20" s="14">
        <v>1.2999999999999999E-3</v>
      </c>
      <c r="W20" s="14">
        <v>1E-4</v>
      </c>
      <c r="X20" s="14">
        <v>2.0000000000000001E-4</v>
      </c>
      <c r="Y20" s="14">
        <v>2.0000000000000001E-4</v>
      </c>
      <c r="Z20" s="15">
        <v>0</v>
      </c>
      <c r="AA20" s="20">
        <f t="shared" si="0"/>
        <v>1.1700000000000002E-2</v>
      </c>
    </row>
    <row r="21" spans="1:27" ht="43" customHeight="1" x14ac:dyDescent="0.2">
      <c r="A21" s="8">
        <v>20</v>
      </c>
      <c r="B21" s="13">
        <v>0</v>
      </c>
      <c r="C21" s="14">
        <v>0</v>
      </c>
      <c r="D21" s="14">
        <v>1E-4</v>
      </c>
      <c r="E21" s="14">
        <v>0</v>
      </c>
      <c r="F21" s="14">
        <v>1E-4</v>
      </c>
      <c r="G21" s="14">
        <v>1E-4</v>
      </c>
      <c r="H21" s="14">
        <v>2.0000000000000001E-4</v>
      </c>
      <c r="I21" s="14">
        <v>1E-4</v>
      </c>
      <c r="J21" s="14">
        <v>0</v>
      </c>
      <c r="K21" s="14">
        <v>0</v>
      </c>
      <c r="L21" s="14">
        <v>2.0000000000000001E-4</v>
      </c>
      <c r="M21" s="14">
        <v>0</v>
      </c>
      <c r="N21" s="14">
        <v>0</v>
      </c>
      <c r="O21" s="14">
        <v>0</v>
      </c>
      <c r="P21" s="14">
        <v>1E-4</v>
      </c>
      <c r="Q21" s="14">
        <v>1E-4</v>
      </c>
      <c r="R21" s="14">
        <v>4.0000000000000002E-4</v>
      </c>
      <c r="S21" s="14">
        <v>2.9999999999999997E-4</v>
      </c>
      <c r="T21" s="14">
        <v>2.0000000000000001E-4</v>
      </c>
      <c r="U21" s="14">
        <v>2.0000000000000001E-4</v>
      </c>
      <c r="V21" s="14">
        <v>2.9999999999999997E-4</v>
      </c>
      <c r="W21" s="14">
        <v>1E-4</v>
      </c>
      <c r="X21" s="14">
        <v>1E-4</v>
      </c>
      <c r="Y21" s="14">
        <v>1E-4</v>
      </c>
      <c r="Z21" s="15">
        <v>0</v>
      </c>
      <c r="AA21" s="20">
        <f t="shared" si="0"/>
        <v>2.6999999999999993E-3</v>
      </c>
    </row>
    <row r="22" spans="1:27" ht="43" customHeight="1" x14ac:dyDescent="0.2">
      <c r="A22" s="8">
        <v>21</v>
      </c>
      <c r="B22" s="13">
        <v>0</v>
      </c>
      <c r="C22" s="14">
        <v>0</v>
      </c>
      <c r="D22" s="14">
        <v>0</v>
      </c>
      <c r="E22" s="14">
        <v>1E-4</v>
      </c>
      <c r="F22" s="14">
        <v>1E-4</v>
      </c>
      <c r="G22" s="14">
        <v>1E-4</v>
      </c>
      <c r="H22" s="14">
        <v>2.9999999999999997E-4</v>
      </c>
      <c r="I22" s="14">
        <v>1E-4</v>
      </c>
      <c r="J22" s="14">
        <v>0</v>
      </c>
      <c r="K22" s="14">
        <v>1E-4</v>
      </c>
      <c r="L22" s="14">
        <v>0</v>
      </c>
      <c r="M22" s="14">
        <v>1E-4</v>
      </c>
      <c r="N22" s="14">
        <v>2.0000000000000001E-4</v>
      </c>
      <c r="O22" s="14">
        <v>1E-4</v>
      </c>
      <c r="P22" s="14">
        <v>2.0000000000000001E-4</v>
      </c>
      <c r="Q22" s="14">
        <v>2.9999999999999997E-4</v>
      </c>
      <c r="R22" s="14">
        <v>4.8999999999999998E-3</v>
      </c>
      <c r="S22" s="14">
        <v>2.3999999999999998E-3</v>
      </c>
      <c r="T22" s="14">
        <v>8.0000000000000004E-4</v>
      </c>
      <c r="U22" s="14">
        <v>4.0000000000000002E-4</v>
      </c>
      <c r="V22" s="14">
        <v>3.8E-3</v>
      </c>
      <c r="W22" s="14">
        <v>2.0000000000000001E-4</v>
      </c>
      <c r="X22" s="14">
        <v>2.9999999999999997E-4</v>
      </c>
      <c r="Y22" s="14">
        <v>2.0000000000000001E-4</v>
      </c>
      <c r="Z22" s="15">
        <v>0</v>
      </c>
      <c r="AA22" s="20">
        <f t="shared" si="0"/>
        <v>1.47E-2</v>
      </c>
    </row>
    <row r="23" spans="1:27" ht="43" customHeight="1" x14ac:dyDescent="0.2">
      <c r="A23" s="8">
        <v>22</v>
      </c>
      <c r="B23" s="13">
        <v>0</v>
      </c>
      <c r="C23" s="14">
        <v>0</v>
      </c>
      <c r="D23" s="14">
        <v>0</v>
      </c>
      <c r="E23" s="14">
        <v>0</v>
      </c>
      <c r="F23" s="14">
        <v>1E-4</v>
      </c>
      <c r="G23" s="14">
        <v>2.0000000000000001E-4</v>
      </c>
      <c r="H23" s="14">
        <v>2.0000000000000001E-4</v>
      </c>
      <c r="I23" s="14">
        <v>1E-4</v>
      </c>
      <c r="J23" s="14">
        <v>1E-4</v>
      </c>
      <c r="K23" s="14">
        <v>1E-4</v>
      </c>
      <c r="L23" s="14">
        <v>1E-4</v>
      </c>
      <c r="M23" s="14">
        <v>0</v>
      </c>
      <c r="N23" s="14">
        <v>1.4E-3</v>
      </c>
      <c r="O23" s="14">
        <v>4.0000000000000002E-4</v>
      </c>
      <c r="P23" s="14">
        <v>6.9999999999999999E-4</v>
      </c>
      <c r="Q23" s="14">
        <v>8.9999999999999998E-4</v>
      </c>
      <c r="R23" s="14">
        <v>0.109</v>
      </c>
      <c r="S23" s="14">
        <v>9.0300000000000005E-2</v>
      </c>
      <c r="T23" s="14">
        <v>9.4999999999999998E-3</v>
      </c>
      <c r="U23" s="14">
        <v>3.8999999999999998E-3</v>
      </c>
      <c r="V23" s="14">
        <v>1.26E-2</v>
      </c>
      <c r="W23" s="14">
        <v>3.0999999999999999E-3</v>
      </c>
      <c r="X23" s="14">
        <v>1.2999999999999999E-3</v>
      </c>
      <c r="Y23" s="14">
        <v>1.6999999999999999E-3</v>
      </c>
      <c r="Z23" s="15">
        <v>0</v>
      </c>
      <c r="AA23" s="20">
        <f t="shared" si="0"/>
        <v>0.23569999999999999</v>
      </c>
    </row>
    <row r="24" spans="1:27" ht="43" customHeight="1" x14ac:dyDescent="0.2">
      <c r="A24" s="8">
        <v>23</v>
      </c>
      <c r="B24" s="13">
        <v>1E-4</v>
      </c>
      <c r="C24" s="14">
        <v>0</v>
      </c>
      <c r="D24" s="14">
        <v>1E-4</v>
      </c>
      <c r="E24" s="14">
        <v>1E-4</v>
      </c>
      <c r="F24" s="14">
        <v>1E-4</v>
      </c>
      <c r="G24" s="14">
        <v>4.0000000000000002E-4</v>
      </c>
      <c r="H24" s="14">
        <v>2.0000000000000001E-4</v>
      </c>
      <c r="I24" s="14">
        <v>2.0000000000000001E-4</v>
      </c>
      <c r="J24" s="14">
        <v>2.9999999999999997E-4</v>
      </c>
      <c r="K24" s="14">
        <v>2.9999999999999997E-4</v>
      </c>
      <c r="L24" s="14">
        <v>2.0000000000000001E-4</v>
      </c>
      <c r="M24" s="14">
        <v>6.9999999999999999E-4</v>
      </c>
      <c r="N24" s="14">
        <v>0</v>
      </c>
      <c r="O24" s="14">
        <v>8.0000000000000004E-4</v>
      </c>
      <c r="P24" s="14">
        <v>1.4E-3</v>
      </c>
      <c r="Q24" s="14">
        <v>2.0999999999999999E-3</v>
      </c>
      <c r="R24" s="14">
        <v>0.34100000000000003</v>
      </c>
      <c r="S24" s="14">
        <v>0.13120000000000001</v>
      </c>
      <c r="T24" s="14">
        <v>0.1009</v>
      </c>
      <c r="U24" s="14">
        <v>3.04E-2</v>
      </c>
      <c r="V24" s="14">
        <v>4.3499999999999997E-2</v>
      </c>
      <c r="W24" s="14">
        <v>1.0699999999999999E-2</v>
      </c>
      <c r="X24" s="14">
        <v>9.5999999999999992E-3</v>
      </c>
      <c r="Y24" s="14">
        <v>1.04E-2</v>
      </c>
      <c r="Z24" s="15">
        <v>0</v>
      </c>
      <c r="AA24" s="20">
        <f t="shared" si="0"/>
        <v>0.68470000000000009</v>
      </c>
    </row>
    <row r="25" spans="1:27" ht="43" customHeight="1" x14ac:dyDescent="0.2">
      <c r="A25" s="8">
        <v>24</v>
      </c>
      <c r="B25" s="13">
        <v>0</v>
      </c>
      <c r="C25" s="14">
        <v>0</v>
      </c>
      <c r="D25" s="14">
        <v>0</v>
      </c>
      <c r="E25" s="14">
        <v>0</v>
      </c>
      <c r="F25" s="14">
        <v>0</v>
      </c>
      <c r="G25" s="14">
        <v>0</v>
      </c>
      <c r="H25" s="14">
        <v>1E-4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0</v>
      </c>
      <c r="O25" s="14">
        <v>0</v>
      </c>
      <c r="P25" s="14">
        <v>2.0000000000000001E-4</v>
      </c>
      <c r="Q25" s="14">
        <v>2.0000000000000001E-4</v>
      </c>
      <c r="R25" s="14">
        <v>3.0999999999999999E-3</v>
      </c>
      <c r="S25" s="14">
        <v>4.0000000000000001E-3</v>
      </c>
      <c r="T25" s="14">
        <v>8.9999999999999998E-4</v>
      </c>
      <c r="U25" s="14">
        <v>6.9999999999999999E-4</v>
      </c>
      <c r="V25" s="14">
        <v>1.5E-3</v>
      </c>
      <c r="W25" s="14">
        <v>2.9999999999999997E-4</v>
      </c>
      <c r="X25" s="14">
        <v>2.0000000000000001E-4</v>
      </c>
      <c r="Y25" s="14">
        <v>2.9999999999999997E-4</v>
      </c>
      <c r="Z25" s="15">
        <v>0</v>
      </c>
      <c r="AA25" s="20">
        <f t="shared" si="0"/>
        <v>1.15E-2</v>
      </c>
    </row>
    <row r="26" spans="1:27" ht="43" customHeight="1" thickBot="1" x14ac:dyDescent="0.25">
      <c r="A26" s="8">
        <v>25</v>
      </c>
      <c r="B26" s="16">
        <v>0</v>
      </c>
      <c r="C26" s="17">
        <v>0</v>
      </c>
      <c r="D26" s="17">
        <v>0</v>
      </c>
      <c r="E26" s="17">
        <v>0</v>
      </c>
      <c r="F26" s="17">
        <v>0</v>
      </c>
      <c r="G26" s="17">
        <v>0</v>
      </c>
      <c r="H26" s="17">
        <v>1E-4</v>
      </c>
      <c r="I26" s="17">
        <v>0</v>
      </c>
      <c r="J26" s="17">
        <v>0</v>
      </c>
      <c r="K26" s="17">
        <v>0</v>
      </c>
      <c r="L26" s="17">
        <v>0</v>
      </c>
      <c r="M26" s="17">
        <v>0</v>
      </c>
      <c r="N26" s="17">
        <v>1E-4</v>
      </c>
      <c r="O26" s="17">
        <v>1E-4</v>
      </c>
      <c r="P26" s="17">
        <v>0</v>
      </c>
      <c r="Q26" s="17">
        <v>1E-4</v>
      </c>
      <c r="R26" s="17">
        <v>1.1000000000000001E-3</v>
      </c>
      <c r="S26" s="17">
        <v>5.0000000000000001E-4</v>
      </c>
      <c r="T26" s="17">
        <v>2.9999999999999997E-4</v>
      </c>
      <c r="U26" s="17">
        <v>2.0000000000000001E-4</v>
      </c>
      <c r="V26" s="17">
        <v>1.5E-3</v>
      </c>
      <c r="W26" s="17">
        <v>2.0000000000000001E-4</v>
      </c>
      <c r="X26" s="17">
        <v>1E-4</v>
      </c>
      <c r="Y26" s="17">
        <v>1E-4</v>
      </c>
      <c r="Z26" s="18">
        <v>1.8E-3</v>
      </c>
      <c r="AA26" s="20">
        <f t="shared" si="0"/>
        <v>6.2000000000000006E-3</v>
      </c>
    </row>
    <row r="27" spans="1:27" ht="44" customHeight="1" x14ac:dyDescent="0.2">
      <c r="A27" s="4" t="s">
        <v>8</v>
      </c>
      <c r="B27" s="20">
        <f t="shared" ref="B27:Z27" si="1">SUM(B2:B26)</f>
        <v>3.4999999999999992E-3</v>
      </c>
      <c r="C27" s="20">
        <f t="shared" si="1"/>
        <v>7.000000000000001E-4</v>
      </c>
      <c r="D27" s="20">
        <f t="shared" si="1"/>
        <v>2.8999999999999998E-3</v>
      </c>
      <c r="E27" s="20">
        <f t="shared" si="1"/>
        <v>1.6000000000000003E-3</v>
      </c>
      <c r="F27" s="20">
        <f t="shared" si="1"/>
        <v>1.5000000000000002E-3</v>
      </c>
      <c r="G27" s="20">
        <f t="shared" si="1"/>
        <v>2.3000000000000004E-3</v>
      </c>
      <c r="H27" s="20">
        <f t="shared" si="1"/>
        <v>2.0999999999999999E-3</v>
      </c>
      <c r="I27" s="20">
        <f t="shared" si="1"/>
        <v>8.0000000000000004E-4</v>
      </c>
      <c r="J27" s="20">
        <f t="shared" si="1"/>
        <v>1.2000000000000001E-3</v>
      </c>
      <c r="K27" s="20">
        <f t="shared" si="1"/>
        <v>6.9999999999999999E-4</v>
      </c>
      <c r="L27" s="20">
        <f t="shared" si="1"/>
        <v>6.0000000000000006E-4</v>
      </c>
      <c r="M27" s="20">
        <f t="shared" si="1"/>
        <v>1.9000000000000002E-3</v>
      </c>
      <c r="N27" s="20">
        <f t="shared" si="1"/>
        <v>3.2000000000000002E-3</v>
      </c>
      <c r="O27" s="20">
        <f t="shared" si="1"/>
        <v>2.8E-3</v>
      </c>
      <c r="P27" s="20">
        <f t="shared" si="1"/>
        <v>6.3999999999999994E-3</v>
      </c>
      <c r="Q27" s="20">
        <f t="shared" si="1"/>
        <v>4.9999999999999992E-3</v>
      </c>
      <c r="R27" s="20">
        <f t="shared" si="1"/>
        <v>0.46360000000000001</v>
      </c>
      <c r="S27" s="20">
        <f t="shared" si="1"/>
        <v>0.23150000000000004</v>
      </c>
      <c r="T27" s="20">
        <f t="shared" si="1"/>
        <v>0.1152</v>
      </c>
      <c r="U27" s="20">
        <f t="shared" si="1"/>
        <v>3.6400000000000002E-2</v>
      </c>
      <c r="V27" s="20">
        <f t="shared" si="1"/>
        <v>6.7500000000000004E-2</v>
      </c>
      <c r="W27" s="20">
        <f t="shared" si="1"/>
        <v>1.49E-2</v>
      </c>
      <c r="X27" s="20">
        <f t="shared" si="1"/>
        <v>1.2499999999999999E-2</v>
      </c>
      <c r="Y27" s="20">
        <f t="shared" si="1"/>
        <v>1.3099999999999999E-2</v>
      </c>
      <c r="Z27" s="20">
        <f t="shared" si="1"/>
        <v>1.8E-3</v>
      </c>
      <c r="AA27" s="1">
        <f t="shared" si="0"/>
        <v>0.99370000000000003</v>
      </c>
    </row>
    <row r="28" spans="1:27" x14ac:dyDescent="0.2">
      <c r="A28" s="7" t="s">
        <v>7</v>
      </c>
      <c r="AA28" s="1">
        <f>SUM(B28:Z28)</f>
        <v>0</v>
      </c>
    </row>
    <row r="31" spans="1:27" ht="43" customHeight="1" x14ac:dyDescent="0.2">
      <c r="A31" s="3"/>
      <c r="B31" s="3">
        <v>1</v>
      </c>
      <c r="C31" s="3">
        <v>2</v>
      </c>
      <c r="D31" s="3">
        <v>3</v>
      </c>
      <c r="E31" s="3">
        <v>4</v>
      </c>
      <c r="F31" s="3">
        <v>5</v>
      </c>
      <c r="G31" s="3">
        <v>6</v>
      </c>
      <c r="H31" s="3">
        <v>7</v>
      </c>
      <c r="I31" s="3">
        <v>8</v>
      </c>
      <c r="J31" s="3">
        <v>9</v>
      </c>
      <c r="K31" s="3">
        <v>10</v>
      </c>
      <c r="L31" s="3">
        <v>11</v>
      </c>
      <c r="M31" s="3">
        <v>12</v>
      </c>
      <c r="N31" s="3">
        <v>13</v>
      </c>
      <c r="O31" s="3">
        <v>14</v>
      </c>
      <c r="P31" s="3">
        <v>15</v>
      </c>
      <c r="Q31" s="3">
        <v>16</v>
      </c>
      <c r="R31" s="3">
        <v>17</v>
      </c>
      <c r="S31" s="3">
        <v>18</v>
      </c>
      <c r="T31" s="3">
        <v>19</v>
      </c>
      <c r="U31" s="3">
        <v>20</v>
      </c>
      <c r="V31" s="3">
        <v>21</v>
      </c>
      <c r="W31" s="3">
        <v>22</v>
      </c>
      <c r="X31" s="3">
        <v>23</v>
      </c>
      <c r="Y31" s="3">
        <v>24</v>
      </c>
      <c r="Z31" s="3">
        <v>25</v>
      </c>
    </row>
    <row r="32" spans="1:27" ht="43" customHeight="1" x14ac:dyDescent="0.2">
      <c r="A32" s="3" t="s">
        <v>10</v>
      </c>
      <c r="B32" s="19">
        <f>B27</f>
        <v>3.4999999999999992E-3</v>
      </c>
      <c r="C32" s="19">
        <f t="shared" ref="C32:Z32" si="2">C27</f>
        <v>7.000000000000001E-4</v>
      </c>
      <c r="D32" s="19">
        <f t="shared" si="2"/>
        <v>2.8999999999999998E-3</v>
      </c>
      <c r="E32" s="19">
        <f t="shared" si="2"/>
        <v>1.6000000000000003E-3</v>
      </c>
      <c r="F32" s="19">
        <f t="shared" si="2"/>
        <v>1.5000000000000002E-3</v>
      </c>
      <c r="G32" s="19">
        <f t="shared" si="2"/>
        <v>2.3000000000000004E-3</v>
      </c>
      <c r="H32" s="19">
        <f t="shared" si="2"/>
        <v>2.0999999999999999E-3</v>
      </c>
      <c r="I32" s="19">
        <f t="shared" si="2"/>
        <v>8.0000000000000004E-4</v>
      </c>
      <c r="J32" s="19">
        <f t="shared" si="2"/>
        <v>1.2000000000000001E-3</v>
      </c>
      <c r="K32" s="19">
        <f t="shared" si="2"/>
        <v>6.9999999999999999E-4</v>
      </c>
      <c r="L32" s="19">
        <f t="shared" si="2"/>
        <v>6.0000000000000006E-4</v>
      </c>
      <c r="M32" s="19">
        <f t="shared" si="2"/>
        <v>1.9000000000000002E-3</v>
      </c>
      <c r="N32" s="19">
        <f t="shared" si="2"/>
        <v>3.2000000000000002E-3</v>
      </c>
      <c r="O32" s="19">
        <f t="shared" si="2"/>
        <v>2.8E-3</v>
      </c>
      <c r="P32" s="19">
        <f t="shared" si="2"/>
        <v>6.3999999999999994E-3</v>
      </c>
      <c r="Q32" s="19">
        <f t="shared" si="2"/>
        <v>4.9999999999999992E-3</v>
      </c>
      <c r="R32" s="19">
        <f t="shared" si="2"/>
        <v>0.46360000000000001</v>
      </c>
      <c r="S32" s="19">
        <f t="shared" si="2"/>
        <v>0.23150000000000004</v>
      </c>
      <c r="T32" s="19">
        <f t="shared" si="2"/>
        <v>0.1152</v>
      </c>
      <c r="U32" s="19">
        <f t="shared" si="2"/>
        <v>3.6400000000000002E-2</v>
      </c>
      <c r="V32" s="19">
        <f t="shared" si="2"/>
        <v>6.7500000000000004E-2</v>
      </c>
      <c r="W32" s="19">
        <f t="shared" si="2"/>
        <v>1.49E-2</v>
      </c>
      <c r="X32" s="19">
        <f t="shared" si="2"/>
        <v>1.2499999999999999E-2</v>
      </c>
      <c r="Y32" s="19">
        <f t="shared" si="2"/>
        <v>1.3099999999999999E-2</v>
      </c>
      <c r="Z32" s="19">
        <f t="shared" si="2"/>
        <v>1.8E-3</v>
      </c>
    </row>
    <row r="33" spans="1:26" ht="43" customHeight="1" x14ac:dyDescent="0.2">
      <c r="A33" s="3" t="s">
        <v>9</v>
      </c>
      <c r="B33" s="19">
        <f>AA2</f>
        <v>2.7999999999999991E-3</v>
      </c>
      <c r="C33" s="19">
        <f>AA3</f>
        <v>4.0000000000000002E-4</v>
      </c>
      <c r="D33" s="19">
        <f>AA4</f>
        <v>2.0000000000000001E-4</v>
      </c>
      <c r="E33" s="19">
        <f>AA5</f>
        <v>2.5000000000000001E-3</v>
      </c>
      <c r="F33" s="19">
        <f>AA6</f>
        <v>6.0000000000000006E-4</v>
      </c>
      <c r="G33" s="19">
        <f>AA7</f>
        <v>4.0000000000000002E-4</v>
      </c>
      <c r="H33" s="19">
        <f>AA8</f>
        <v>9.0000000000000019E-4</v>
      </c>
      <c r="I33" s="19">
        <f>AA9</f>
        <v>2.3999999999999998E-3</v>
      </c>
      <c r="J33" s="19">
        <f>AA10</f>
        <v>5.0000000000000001E-4</v>
      </c>
      <c r="K33" s="19">
        <f>AA11</f>
        <v>1.7000000000000003E-3</v>
      </c>
      <c r="L33" s="19">
        <f>AA12</f>
        <v>7.000000000000001E-4</v>
      </c>
      <c r="M33" s="19">
        <f>AA13</f>
        <v>2E-3</v>
      </c>
      <c r="N33" s="19">
        <f>AA14</f>
        <v>1.4E-3</v>
      </c>
      <c r="O33" s="19">
        <f>AA15</f>
        <v>2.1000000000000003E-3</v>
      </c>
      <c r="P33" s="19">
        <f>AA16</f>
        <v>1.5000000000000002E-3</v>
      </c>
      <c r="Q33" s="19">
        <f>AA17</f>
        <v>2.2000000000000001E-3</v>
      </c>
      <c r="R33" s="19">
        <f>AA18</f>
        <v>2.3E-3</v>
      </c>
      <c r="S33" s="19">
        <f>AA19</f>
        <v>1.9000000000000004E-3</v>
      </c>
      <c r="T33" s="19">
        <f>AA20</f>
        <v>1.1700000000000002E-2</v>
      </c>
      <c r="U33" s="19">
        <f>AA21</f>
        <v>2.6999999999999993E-3</v>
      </c>
      <c r="V33" s="19">
        <f>AA22</f>
        <v>1.47E-2</v>
      </c>
      <c r="W33" s="19">
        <f>AA23</f>
        <v>0.23569999999999999</v>
      </c>
      <c r="X33" s="19">
        <f>AA24</f>
        <v>0.68470000000000009</v>
      </c>
      <c r="Y33" s="19">
        <f>AA25</f>
        <v>1.15E-2</v>
      </c>
      <c r="Z33" s="19">
        <f>AA26</f>
        <v>6.2000000000000006E-3</v>
      </c>
    </row>
  </sheetData>
  <conditionalFormatting sqref="B2:Z26">
    <cfRule type="colorScale" priority="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20">
    <cfRule type="colorScale" priority="8">
      <colorScale>
        <cfvo type="min"/>
        <cfvo type="max"/>
        <color theme="5" tint="0.79998168889431442"/>
        <color rgb="FFFF0000"/>
      </colorScale>
    </cfRule>
  </conditionalFormatting>
  <conditionalFormatting sqref="B2:T26">
    <cfRule type="colorScale" priority="9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10">
      <colorScale>
        <cfvo type="min"/>
        <cfvo type="max"/>
        <color theme="0"/>
        <color rgb="FFFF0000"/>
      </colorScale>
    </cfRule>
  </conditionalFormatting>
  <conditionalFormatting sqref="B32:Z32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3">
      <colorScale>
        <cfvo type="min"/>
        <cfvo type="max"/>
        <color theme="0"/>
        <color rgb="FFFF0000"/>
      </colorScale>
    </cfRule>
  </conditionalFormatting>
  <conditionalFormatting sqref="B33:Z33">
    <cfRule type="colorScale" priority="1">
      <colorScale>
        <cfvo type="min"/>
        <cfvo type="max"/>
        <color theme="0"/>
        <color rgb="FFFF0000"/>
      </colorScale>
    </cfRule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01"/>
  <sheetViews>
    <sheetView topLeftCell="A19" workbookViewId="0">
      <selection sqref="A1:XFD1048576"/>
    </sheetView>
  </sheetViews>
  <sheetFormatPr baseColWidth="10" defaultRowHeight="21" x14ac:dyDescent="0.2"/>
  <cols>
    <col min="1" max="1" width="7.1640625" style="4" customWidth="1"/>
    <col min="2" max="26" width="7.1640625" style="1" customWidth="1"/>
    <col min="27" max="16384" width="10.83203125" style="1"/>
  </cols>
  <sheetData>
    <row r="1" spans="1:26" s="4" customFormat="1" ht="43" customHeight="1" x14ac:dyDescent="0.2">
      <c r="A1" s="6" t="s">
        <v>0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  <c r="V1" s="3">
        <v>21</v>
      </c>
      <c r="W1" s="3">
        <v>22</v>
      </c>
      <c r="X1" s="3">
        <v>23</v>
      </c>
      <c r="Y1" s="3">
        <v>24</v>
      </c>
      <c r="Z1" s="3">
        <v>25</v>
      </c>
    </row>
    <row r="2" spans="1:26" ht="43" customHeight="1" x14ac:dyDescent="0.2">
      <c r="A2" s="3">
        <v>1</v>
      </c>
      <c r="B2" s="2">
        <v>1</v>
      </c>
      <c r="C2" s="2">
        <v>16</v>
      </c>
      <c r="D2" s="2">
        <v>3137</v>
      </c>
      <c r="E2" s="2">
        <v>10880</v>
      </c>
      <c r="F2" s="2">
        <v>6517</v>
      </c>
      <c r="G2" s="2">
        <v>25</v>
      </c>
      <c r="H2" s="2">
        <v>5</v>
      </c>
      <c r="I2" s="2">
        <v>8</v>
      </c>
      <c r="J2" s="2">
        <v>1</v>
      </c>
      <c r="K2" s="2">
        <v>1</v>
      </c>
      <c r="L2" s="2">
        <v>5</v>
      </c>
      <c r="M2" s="2">
        <v>17</v>
      </c>
      <c r="N2" s="2">
        <v>3</v>
      </c>
      <c r="O2" s="2">
        <v>3</v>
      </c>
      <c r="P2" s="2">
        <v>3</v>
      </c>
      <c r="Q2" s="2">
        <v>1</v>
      </c>
      <c r="R2" s="2">
        <v>0</v>
      </c>
      <c r="S2" s="2">
        <v>4</v>
      </c>
      <c r="T2" s="2">
        <v>2</v>
      </c>
      <c r="U2" s="2">
        <v>10</v>
      </c>
      <c r="V2" s="2">
        <v>2</v>
      </c>
      <c r="W2" s="2">
        <v>4</v>
      </c>
      <c r="X2" s="2">
        <v>3</v>
      </c>
      <c r="Y2" s="2">
        <v>4</v>
      </c>
      <c r="Z2" s="2">
        <v>2</v>
      </c>
    </row>
    <row r="3" spans="1:26" ht="43" customHeight="1" x14ac:dyDescent="0.2">
      <c r="A3" s="3">
        <v>2</v>
      </c>
      <c r="B3" s="2">
        <v>4</v>
      </c>
      <c r="C3" s="2">
        <v>5</v>
      </c>
      <c r="D3" s="2">
        <v>8</v>
      </c>
      <c r="E3" s="2">
        <v>263</v>
      </c>
      <c r="F3" s="2">
        <v>1189</v>
      </c>
      <c r="G3" s="2">
        <v>25</v>
      </c>
      <c r="H3" s="2">
        <v>3</v>
      </c>
      <c r="I3" s="2">
        <v>1</v>
      </c>
      <c r="J3" s="2">
        <v>0</v>
      </c>
      <c r="K3" s="2">
        <v>3</v>
      </c>
      <c r="L3" s="2">
        <v>4</v>
      </c>
      <c r="M3" s="2">
        <v>3</v>
      </c>
      <c r="N3" s="2">
        <v>4</v>
      </c>
      <c r="O3" s="2">
        <v>6</v>
      </c>
      <c r="P3" s="2">
        <v>0</v>
      </c>
      <c r="Q3" s="2">
        <v>2</v>
      </c>
      <c r="R3" s="2">
        <v>1</v>
      </c>
      <c r="S3" s="2">
        <v>0</v>
      </c>
      <c r="T3" s="2">
        <v>1</v>
      </c>
      <c r="U3" s="2">
        <v>2</v>
      </c>
      <c r="V3" s="2">
        <v>0</v>
      </c>
      <c r="W3" s="2">
        <v>4</v>
      </c>
      <c r="X3" s="2">
        <v>4</v>
      </c>
      <c r="Y3" s="2">
        <v>1</v>
      </c>
      <c r="Z3" s="2">
        <v>3</v>
      </c>
    </row>
    <row r="4" spans="1:26" ht="43" customHeight="1" x14ac:dyDescent="0.2">
      <c r="A4" s="3">
        <v>3</v>
      </c>
      <c r="B4" s="2">
        <v>2</v>
      </c>
      <c r="C4" s="2">
        <v>6</v>
      </c>
      <c r="D4" s="2">
        <v>1</v>
      </c>
      <c r="E4" s="2">
        <v>1</v>
      </c>
      <c r="F4" s="2">
        <v>65</v>
      </c>
      <c r="G4" s="2">
        <v>192</v>
      </c>
      <c r="H4" s="2">
        <v>4</v>
      </c>
      <c r="I4" s="2">
        <v>1</v>
      </c>
      <c r="J4" s="2">
        <v>2</v>
      </c>
      <c r="K4" s="2">
        <v>3</v>
      </c>
      <c r="L4" s="2">
        <v>1</v>
      </c>
      <c r="M4" s="2">
        <v>1</v>
      </c>
      <c r="N4" s="2">
        <v>1</v>
      </c>
      <c r="O4" s="2">
        <v>8</v>
      </c>
      <c r="P4" s="2">
        <v>3</v>
      </c>
      <c r="Q4" s="2">
        <v>2</v>
      </c>
      <c r="R4" s="2">
        <v>1</v>
      </c>
      <c r="S4" s="2">
        <v>0</v>
      </c>
      <c r="T4" s="2">
        <v>2</v>
      </c>
      <c r="U4" s="2">
        <v>3</v>
      </c>
      <c r="V4" s="2">
        <v>2</v>
      </c>
      <c r="W4" s="2">
        <v>0</v>
      </c>
      <c r="X4" s="2">
        <v>1</v>
      </c>
      <c r="Y4" s="2">
        <v>0</v>
      </c>
      <c r="Z4" s="2">
        <v>1</v>
      </c>
    </row>
    <row r="5" spans="1:26" ht="43" customHeight="1" x14ac:dyDescent="0.2">
      <c r="A5" s="3">
        <v>4</v>
      </c>
      <c r="B5" s="2">
        <v>0</v>
      </c>
      <c r="C5" s="2">
        <v>4</v>
      </c>
      <c r="D5" s="2">
        <v>3</v>
      </c>
      <c r="E5" s="2">
        <v>0</v>
      </c>
      <c r="F5" s="2">
        <v>2</v>
      </c>
      <c r="G5" s="2">
        <v>4</v>
      </c>
      <c r="H5" s="2">
        <v>93</v>
      </c>
      <c r="I5" s="2">
        <v>8</v>
      </c>
      <c r="J5" s="2">
        <v>2</v>
      </c>
      <c r="K5" s="2">
        <v>2</v>
      </c>
      <c r="L5" s="2">
        <v>1</v>
      </c>
      <c r="M5" s="2">
        <v>1</v>
      </c>
      <c r="N5" s="2">
        <v>1</v>
      </c>
      <c r="O5" s="2">
        <v>0</v>
      </c>
      <c r="P5" s="2">
        <v>0</v>
      </c>
      <c r="Q5" s="2">
        <v>0</v>
      </c>
      <c r="R5" s="2">
        <v>0</v>
      </c>
      <c r="S5" s="2">
        <v>2</v>
      </c>
      <c r="T5" s="2">
        <v>0</v>
      </c>
      <c r="U5" s="2">
        <v>2</v>
      </c>
      <c r="V5" s="2">
        <v>1</v>
      </c>
      <c r="W5" s="2">
        <v>0</v>
      </c>
      <c r="X5" s="2">
        <v>2</v>
      </c>
      <c r="Y5" s="2">
        <v>0</v>
      </c>
      <c r="Z5" s="2">
        <v>1</v>
      </c>
    </row>
    <row r="6" spans="1:26" ht="43" customHeight="1" x14ac:dyDescent="0.2">
      <c r="A6" s="3">
        <v>5</v>
      </c>
      <c r="B6" s="2">
        <v>0</v>
      </c>
      <c r="C6" s="2">
        <v>0</v>
      </c>
      <c r="D6" s="2">
        <v>0</v>
      </c>
      <c r="E6" s="2">
        <v>1</v>
      </c>
      <c r="F6" s="2">
        <v>0</v>
      </c>
      <c r="G6" s="2">
        <v>1</v>
      </c>
      <c r="H6" s="2">
        <v>2</v>
      </c>
      <c r="I6" s="2">
        <v>159</v>
      </c>
      <c r="J6" s="2">
        <v>2</v>
      </c>
      <c r="K6" s="2">
        <v>0</v>
      </c>
      <c r="L6" s="2">
        <v>3</v>
      </c>
      <c r="M6" s="2">
        <v>4</v>
      </c>
      <c r="N6" s="2">
        <v>2</v>
      </c>
      <c r="O6" s="2">
        <v>0</v>
      </c>
      <c r="P6" s="2">
        <v>0</v>
      </c>
      <c r="Q6" s="2">
        <v>0</v>
      </c>
      <c r="R6" s="2">
        <v>1</v>
      </c>
      <c r="S6" s="2">
        <v>0</v>
      </c>
      <c r="T6" s="2">
        <v>0</v>
      </c>
      <c r="U6" s="2">
        <v>1</v>
      </c>
      <c r="V6" s="2">
        <v>1</v>
      </c>
      <c r="W6" s="2">
        <v>0</v>
      </c>
      <c r="X6" s="2">
        <v>1</v>
      </c>
      <c r="Y6" s="2">
        <v>2</v>
      </c>
      <c r="Z6" s="2">
        <v>0</v>
      </c>
    </row>
    <row r="7" spans="1:26" ht="43" customHeight="1" x14ac:dyDescent="0.2">
      <c r="A7" s="3">
        <v>6</v>
      </c>
      <c r="B7" s="2">
        <v>0</v>
      </c>
      <c r="C7" s="2">
        <v>0</v>
      </c>
      <c r="D7" s="2">
        <v>1</v>
      </c>
      <c r="E7" s="2">
        <v>0</v>
      </c>
      <c r="F7" s="2">
        <v>1</v>
      </c>
      <c r="G7" s="2">
        <v>0</v>
      </c>
      <c r="H7" s="2">
        <v>0</v>
      </c>
      <c r="I7" s="2">
        <v>3</v>
      </c>
      <c r="J7" s="2">
        <v>41</v>
      </c>
      <c r="K7" s="2">
        <v>2</v>
      </c>
      <c r="L7" s="2">
        <v>0</v>
      </c>
      <c r="M7" s="2">
        <v>2</v>
      </c>
      <c r="N7" s="2">
        <v>1</v>
      </c>
      <c r="O7" s="2">
        <v>0</v>
      </c>
      <c r="P7" s="2">
        <v>0</v>
      </c>
      <c r="Q7" s="2">
        <v>0</v>
      </c>
      <c r="R7" s="2">
        <v>1</v>
      </c>
      <c r="S7" s="2">
        <v>3</v>
      </c>
      <c r="T7" s="2">
        <v>0</v>
      </c>
      <c r="U7" s="2">
        <v>2</v>
      </c>
      <c r="V7" s="2">
        <v>0</v>
      </c>
      <c r="W7" s="2">
        <v>1</v>
      </c>
      <c r="X7" s="2">
        <v>0</v>
      </c>
      <c r="Y7" s="2">
        <v>1</v>
      </c>
      <c r="Z7" s="2">
        <v>1</v>
      </c>
    </row>
    <row r="8" spans="1:26" ht="43" customHeight="1" x14ac:dyDescent="0.2">
      <c r="A8" s="3">
        <v>7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2</v>
      </c>
      <c r="H8" s="2">
        <v>2</v>
      </c>
      <c r="I8" s="2">
        <v>3</v>
      </c>
      <c r="J8" s="2">
        <v>1</v>
      </c>
      <c r="K8" s="2">
        <v>41</v>
      </c>
      <c r="L8" s="2">
        <v>1</v>
      </c>
      <c r="M8" s="2">
        <v>1</v>
      </c>
      <c r="N8" s="2">
        <v>1</v>
      </c>
      <c r="O8" s="2">
        <v>0</v>
      </c>
      <c r="P8" s="2">
        <v>0</v>
      </c>
      <c r="Q8" s="2">
        <v>0</v>
      </c>
      <c r="R8" s="2">
        <v>0</v>
      </c>
      <c r="S8" s="2">
        <v>10</v>
      </c>
      <c r="T8" s="2">
        <v>6</v>
      </c>
      <c r="U8" s="2">
        <v>0</v>
      </c>
      <c r="V8" s="2">
        <v>1</v>
      </c>
      <c r="W8" s="2">
        <v>0</v>
      </c>
      <c r="X8" s="2">
        <v>0</v>
      </c>
      <c r="Y8" s="2">
        <v>0</v>
      </c>
      <c r="Z8" s="2">
        <v>0</v>
      </c>
    </row>
    <row r="9" spans="1:26" ht="43" customHeight="1" x14ac:dyDescent="0.2">
      <c r="A9" s="3">
        <v>8</v>
      </c>
      <c r="B9" s="2">
        <v>0</v>
      </c>
      <c r="C9" s="2">
        <v>1</v>
      </c>
      <c r="D9" s="2">
        <v>0</v>
      </c>
      <c r="E9" s="2">
        <v>1</v>
      </c>
      <c r="F9" s="2">
        <v>0</v>
      </c>
      <c r="G9" s="2">
        <v>2</v>
      </c>
      <c r="H9" s="2">
        <v>7</v>
      </c>
      <c r="I9" s="2">
        <v>0</v>
      </c>
      <c r="J9" s="2">
        <v>0</v>
      </c>
      <c r="K9" s="2">
        <v>1</v>
      </c>
      <c r="L9" s="2">
        <v>18</v>
      </c>
      <c r="M9" s="2">
        <v>0</v>
      </c>
      <c r="N9" s="2">
        <v>1</v>
      </c>
      <c r="O9" s="2">
        <v>0</v>
      </c>
      <c r="P9" s="2">
        <v>0</v>
      </c>
      <c r="Q9" s="2">
        <v>0</v>
      </c>
      <c r="R9" s="2">
        <v>0</v>
      </c>
      <c r="S9" s="2">
        <v>1</v>
      </c>
      <c r="T9" s="2">
        <v>14</v>
      </c>
      <c r="U9" s="2">
        <v>13</v>
      </c>
      <c r="V9" s="2">
        <v>0</v>
      </c>
      <c r="W9" s="2">
        <v>0</v>
      </c>
      <c r="X9" s="2">
        <v>2</v>
      </c>
      <c r="Y9" s="2">
        <v>0</v>
      </c>
      <c r="Z9" s="2">
        <v>0</v>
      </c>
    </row>
    <row r="10" spans="1:26" ht="43" customHeight="1" x14ac:dyDescent="0.2">
      <c r="A10" s="3">
        <v>9</v>
      </c>
      <c r="B10" s="2">
        <v>0</v>
      </c>
      <c r="C10" s="2">
        <v>2</v>
      </c>
      <c r="D10" s="2">
        <v>0</v>
      </c>
      <c r="E10" s="2">
        <v>2</v>
      </c>
      <c r="F10" s="2">
        <v>1</v>
      </c>
      <c r="G10" s="2">
        <v>3</v>
      </c>
      <c r="H10" s="2">
        <v>11</v>
      </c>
      <c r="I10" s="2">
        <v>3</v>
      </c>
      <c r="J10" s="2">
        <v>2</v>
      </c>
      <c r="K10" s="2">
        <v>3</v>
      </c>
      <c r="L10" s="2">
        <v>1</v>
      </c>
      <c r="M10" s="2">
        <v>20</v>
      </c>
      <c r="N10" s="2">
        <v>1</v>
      </c>
      <c r="O10" s="2">
        <v>4</v>
      </c>
      <c r="P10" s="2">
        <v>0</v>
      </c>
      <c r="Q10" s="2">
        <v>0</v>
      </c>
      <c r="R10" s="2">
        <v>0</v>
      </c>
      <c r="S10" s="2">
        <v>0</v>
      </c>
      <c r="T10" s="2">
        <v>4</v>
      </c>
      <c r="U10" s="2">
        <v>46</v>
      </c>
      <c r="V10" s="2">
        <v>3</v>
      </c>
      <c r="W10" s="2">
        <v>1</v>
      </c>
      <c r="X10" s="2">
        <v>1</v>
      </c>
      <c r="Y10" s="2">
        <v>2</v>
      </c>
      <c r="Z10" s="2">
        <v>2</v>
      </c>
    </row>
    <row r="11" spans="1:26" ht="43" customHeight="1" x14ac:dyDescent="0.2">
      <c r="A11" s="3">
        <v>10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</row>
    <row r="12" spans="1:26" ht="43" customHeight="1" x14ac:dyDescent="0.2">
      <c r="A12" s="3">
        <v>11</v>
      </c>
      <c r="B12" s="2">
        <v>0</v>
      </c>
      <c r="C12" s="2">
        <v>0</v>
      </c>
      <c r="D12" s="2">
        <v>1</v>
      </c>
      <c r="E12" s="2">
        <v>0</v>
      </c>
      <c r="F12" s="2">
        <v>0</v>
      </c>
      <c r="G12" s="2">
        <v>5</v>
      </c>
      <c r="H12" s="2">
        <v>9</v>
      </c>
      <c r="I12" s="2">
        <v>1</v>
      </c>
      <c r="J12" s="2">
        <v>5</v>
      </c>
      <c r="K12" s="2">
        <v>0</v>
      </c>
      <c r="L12" s="2">
        <v>0</v>
      </c>
      <c r="M12" s="2">
        <v>7</v>
      </c>
      <c r="N12" s="2">
        <v>1</v>
      </c>
      <c r="O12" s="2">
        <v>22</v>
      </c>
      <c r="P12" s="2">
        <v>2</v>
      </c>
      <c r="Q12" s="2">
        <v>3</v>
      </c>
      <c r="R12" s="2">
        <v>3</v>
      </c>
      <c r="S12" s="2">
        <v>3</v>
      </c>
      <c r="T12" s="2">
        <v>1</v>
      </c>
      <c r="U12" s="2">
        <v>7</v>
      </c>
      <c r="V12" s="2">
        <v>9</v>
      </c>
      <c r="W12" s="2">
        <v>0</v>
      </c>
      <c r="X12" s="2">
        <v>7</v>
      </c>
      <c r="Y12" s="2">
        <v>1</v>
      </c>
      <c r="Z12" s="2">
        <v>6</v>
      </c>
    </row>
    <row r="13" spans="1:26" ht="43" customHeight="1" x14ac:dyDescent="0.2">
      <c r="A13" s="3">
        <v>12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1</v>
      </c>
      <c r="H13" s="2">
        <v>6</v>
      </c>
      <c r="I13" s="2">
        <v>0</v>
      </c>
      <c r="J13" s="2">
        <v>0</v>
      </c>
      <c r="K13" s="2">
        <v>2</v>
      </c>
      <c r="L13" s="2">
        <v>0</v>
      </c>
      <c r="M13" s="2">
        <v>2</v>
      </c>
      <c r="N13" s="2">
        <v>3</v>
      </c>
      <c r="O13" s="2">
        <v>5</v>
      </c>
      <c r="P13" s="2">
        <v>14</v>
      </c>
      <c r="Q13" s="2">
        <v>5</v>
      </c>
      <c r="R13" s="2">
        <v>4</v>
      </c>
      <c r="S13" s="2">
        <v>4</v>
      </c>
      <c r="T13" s="2">
        <v>9</v>
      </c>
      <c r="U13" s="2">
        <v>3</v>
      </c>
      <c r="V13" s="2">
        <v>0</v>
      </c>
      <c r="W13" s="2">
        <v>3</v>
      </c>
      <c r="X13" s="2">
        <v>7</v>
      </c>
      <c r="Y13" s="2">
        <v>2</v>
      </c>
      <c r="Z13" s="2">
        <v>0</v>
      </c>
    </row>
    <row r="14" spans="1:26" ht="43" customHeight="1" x14ac:dyDescent="0.2">
      <c r="A14" s="3">
        <v>13</v>
      </c>
      <c r="B14" s="2">
        <v>0</v>
      </c>
      <c r="C14" s="2">
        <v>0</v>
      </c>
      <c r="D14" s="2">
        <v>0</v>
      </c>
      <c r="E14" s="2">
        <v>0</v>
      </c>
      <c r="F14" s="2">
        <v>1</v>
      </c>
      <c r="G14" s="2">
        <v>0</v>
      </c>
      <c r="H14" s="2">
        <v>3</v>
      </c>
      <c r="I14" s="2">
        <v>0</v>
      </c>
      <c r="J14" s="2">
        <v>1</v>
      </c>
      <c r="K14" s="2">
        <v>3</v>
      </c>
      <c r="L14" s="2">
        <v>0</v>
      </c>
      <c r="M14" s="2">
        <v>2</v>
      </c>
      <c r="N14" s="2">
        <v>3</v>
      </c>
      <c r="O14" s="2">
        <v>4</v>
      </c>
      <c r="P14" s="2">
        <v>1</v>
      </c>
      <c r="Q14" s="2">
        <v>19</v>
      </c>
      <c r="R14" s="2">
        <v>9</v>
      </c>
      <c r="S14" s="2">
        <v>1</v>
      </c>
      <c r="T14" s="2">
        <v>6</v>
      </c>
      <c r="U14" s="2">
        <v>2</v>
      </c>
      <c r="V14" s="2">
        <v>2</v>
      </c>
      <c r="W14" s="2">
        <v>2</v>
      </c>
      <c r="X14" s="2">
        <v>1</v>
      </c>
      <c r="Y14" s="2">
        <v>1</v>
      </c>
      <c r="Z14" s="2">
        <v>5</v>
      </c>
    </row>
    <row r="15" spans="1:26" ht="43" customHeight="1" x14ac:dyDescent="0.2">
      <c r="A15" s="3">
        <v>14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1</v>
      </c>
      <c r="I15" s="2">
        <v>0</v>
      </c>
      <c r="J15" s="2">
        <v>0</v>
      </c>
      <c r="K15" s="2">
        <v>3</v>
      </c>
      <c r="L15" s="2">
        <v>5</v>
      </c>
      <c r="M15" s="2">
        <v>2</v>
      </c>
      <c r="N15" s="2">
        <v>3</v>
      </c>
      <c r="O15" s="2">
        <v>1</v>
      </c>
      <c r="P15" s="2">
        <v>3</v>
      </c>
      <c r="Q15" s="2">
        <v>2</v>
      </c>
      <c r="R15" s="2">
        <v>16</v>
      </c>
      <c r="S15" s="2">
        <v>1</v>
      </c>
      <c r="T15" s="2">
        <v>3</v>
      </c>
      <c r="U15" s="2">
        <v>9</v>
      </c>
      <c r="V15" s="2">
        <v>9</v>
      </c>
      <c r="W15" s="2">
        <v>3</v>
      </c>
      <c r="X15" s="2">
        <v>0</v>
      </c>
      <c r="Y15" s="2">
        <v>0</v>
      </c>
      <c r="Z15" s="2">
        <v>1</v>
      </c>
    </row>
    <row r="16" spans="1:26" ht="43" customHeight="1" x14ac:dyDescent="0.2">
      <c r="A16" s="3">
        <v>15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1</v>
      </c>
      <c r="K16" s="2">
        <v>0</v>
      </c>
      <c r="L16" s="2">
        <v>5</v>
      </c>
      <c r="M16" s="2">
        <v>1</v>
      </c>
      <c r="N16" s="2">
        <v>7</v>
      </c>
      <c r="O16" s="2">
        <v>3</v>
      </c>
      <c r="P16" s="2">
        <v>0</v>
      </c>
      <c r="Q16" s="2">
        <v>3</v>
      </c>
      <c r="R16" s="2">
        <v>1</v>
      </c>
      <c r="S16" s="2">
        <v>19</v>
      </c>
      <c r="T16" s="2">
        <v>8</v>
      </c>
      <c r="U16" s="2">
        <v>1</v>
      </c>
      <c r="V16" s="2">
        <v>5</v>
      </c>
      <c r="W16" s="2">
        <v>11</v>
      </c>
      <c r="X16" s="2">
        <v>2</v>
      </c>
      <c r="Y16" s="2">
        <v>0</v>
      </c>
      <c r="Z16" s="2">
        <v>0</v>
      </c>
    </row>
    <row r="17" spans="1:26" ht="43" customHeight="1" x14ac:dyDescent="0.2">
      <c r="A17" s="3">
        <v>16</v>
      </c>
      <c r="B17" s="2">
        <v>0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1</v>
      </c>
      <c r="K17" s="2">
        <v>2</v>
      </c>
      <c r="L17" s="2">
        <v>2</v>
      </c>
      <c r="M17" s="2">
        <v>4</v>
      </c>
      <c r="N17" s="2">
        <v>19</v>
      </c>
      <c r="O17" s="2">
        <v>2</v>
      </c>
      <c r="P17" s="2">
        <v>0</v>
      </c>
      <c r="Q17" s="2">
        <v>0</v>
      </c>
      <c r="R17" s="2">
        <v>4</v>
      </c>
      <c r="S17" s="2">
        <v>1</v>
      </c>
      <c r="T17" s="2">
        <v>44</v>
      </c>
      <c r="U17" s="2">
        <v>2</v>
      </c>
      <c r="V17" s="2">
        <v>1</v>
      </c>
      <c r="W17" s="2">
        <v>18</v>
      </c>
      <c r="X17" s="2">
        <v>5</v>
      </c>
      <c r="Y17" s="2">
        <v>3</v>
      </c>
      <c r="Z17" s="2">
        <v>0</v>
      </c>
    </row>
    <row r="18" spans="1:26" ht="43" customHeight="1" x14ac:dyDescent="0.2">
      <c r="A18" s="3">
        <v>17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5</v>
      </c>
      <c r="N18" s="2">
        <v>22</v>
      </c>
      <c r="O18" s="2">
        <v>8</v>
      </c>
      <c r="P18" s="2">
        <v>1</v>
      </c>
      <c r="Q18" s="2">
        <v>0</v>
      </c>
      <c r="R18" s="2">
        <v>3</v>
      </c>
      <c r="S18" s="2">
        <v>2</v>
      </c>
      <c r="T18" s="2">
        <v>1</v>
      </c>
      <c r="U18" s="2">
        <v>10</v>
      </c>
      <c r="V18" s="2">
        <v>2</v>
      </c>
      <c r="W18" s="2">
        <v>6</v>
      </c>
      <c r="X18" s="2">
        <v>6</v>
      </c>
      <c r="Y18" s="2">
        <v>6</v>
      </c>
      <c r="Z18" s="2">
        <v>1</v>
      </c>
    </row>
    <row r="19" spans="1:26" ht="43" customHeight="1" x14ac:dyDescent="0.2">
      <c r="A19" s="3">
        <v>18</v>
      </c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1</v>
      </c>
      <c r="N19" s="2">
        <v>6</v>
      </c>
      <c r="O19" s="2">
        <v>6</v>
      </c>
      <c r="P19" s="2">
        <v>7</v>
      </c>
      <c r="Q19" s="2">
        <v>2</v>
      </c>
      <c r="R19" s="2">
        <v>0</v>
      </c>
      <c r="S19" s="2">
        <v>0</v>
      </c>
      <c r="T19" s="2">
        <v>5</v>
      </c>
      <c r="U19" s="2">
        <v>0</v>
      </c>
      <c r="V19" s="2">
        <v>6</v>
      </c>
      <c r="W19" s="2">
        <v>4</v>
      </c>
      <c r="X19" s="2">
        <v>2</v>
      </c>
      <c r="Y19" s="2">
        <v>6</v>
      </c>
      <c r="Z19" s="2">
        <v>12</v>
      </c>
    </row>
    <row r="20" spans="1:26" ht="43" customHeight="1" x14ac:dyDescent="0.2">
      <c r="A20" s="3">
        <v>19</v>
      </c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7</v>
      </c>
      <c r="O20" s="2">
        <v>4</v>
      </c>
      <c r="P20" s="2">
        <v>3</v>
      </c>
      <c r="Q20" s="2">
        <v>3</v>
      </c>
      <c r="R20" s="2">
        <v>2</v>
      </c>
      <c r="S20" s="2">
        <v>0</v>
      </c>
      <c r="T20" s="2">
        <v>0</v>
      </c>
      <c r="U20" s="2">
        <v>3</v>
      </c>
      <c r="V20" s="2">
        <v>0</v>
      </c>
      <c r="W20" s="2">
        <v>8</v>
      </c>
      <c r="X20" s="2">
        <v>2</v>
      </c>
      <c r="Y20" s="2">
        <v>2</v>
      </c>
      <c r="Z20" s="2">
        <v>6</v>
      </c>
    </row>
    <row r="21" spans="1:26" ht="43" customHeight="1" x14ac:dyDescent="0.2">
      <c r="A21" s="3">
        <v>20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2</v>
      </c>
      <c r="P21" s="2">
        <v>2</v>
      </c>
      <c r="Q21" s="2">
        <v>4</v>
      </c>
      <c r="R21" s="2">
        <v>0</v>
      </c>
      <c r="S21" s="2">
        <v>1</v>
      </c>
      <c r="T21" s="2">
        <v>1</v>
      </c>
      <c r="U21" s="2">
        <v>3</v>
      </c>
      <c r="V21" s="2">
        <v>2</v>
      </c>
      <c r="W21" s="2">
        <v>0</v>
      </c>
      <c r="X21" s="2">
        <v>41</v>
      </c>
      <c r="Y21" s="2">
        <v>0</v>
      </c>
      <c r="Z21" s="2">
        <v>1</v>
      </c>
    </row>
    <row r="22" spans="1:26" ht="43" customHeight="1" x14ac:dyDescent="0.2">
      <c r="A22" s="3">
        <v>21</v>
      </c>
      <c r="B22" s="2">
        <v>0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1</v>
      </c>
      <c r="Q22" s="2">
        <v>0</v>
      </c>
      <c r="R22" s="2">
        <v>1</v>
      </c>
      <c r="S22" s="2">
        <v>1</v>
      </c>
      <c r="T22" s="2">
        <v>1</v>
      </c>
      <c r="U22" s="2">
        <v>1</v>
      </c>
      <c r="V22" s="2">
        <v>0</v>
      </c>
      <c r="W22" s="2">
        <v>3</v>
      </c>
      <c r="X22" s="2">
        <v>0</v>
      </c>
      <c r="Y22" s="2">
        <v>4</v>
      </c>
      <c r="Z22" s="2">
        <v>1</v>
      </c>
    </row>
    <row r="23" spans="1:26" ht="43" customHeight="1" x14ac:dyDescent="0.2">
      <c r="A23" s="3">
        <v>22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1</v>
      </c>
      <c r="R23" s="2">
        <v>0</v>
      </c>
      <c r="S23" s="2">
        <v>0</v>
      </c>
      <c r="T23" s="2">
        <v>0</v>
      </c>
      <c r="U23" s="2">
        <v>1</v>
      </c>
      <c r="V23" s="2">
        <v>0</v>
      </c>
      <c r="W23" s="2">
        <v>0</v>
      </c>
      <c r="X23" s="2">
        <v>0</v>
      </c>
      <c r="Y23" s="2">
        <v>0</v>
      </c>
      <c r="Z23" s="2">
        <v>2</v>
      </c>
    </row>
    <row r="24" spans="1:26" ht="43" customHeight="1" x14ac:dyDescent="0.2">
      <c r="A24" s="3">
        <v>23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</row>
    <row r="25" spans="1:26" ht="43" customHeight="1" x14ac:dyDescent="0.2">
      <c r="A25" s="3">
        <v>24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1</v>
      </c>
      <c r="U25" s="2">
        <v>0</v>
      </c>
      <c r="V25" s="2">
        <v>1</v>
      </c>
      <c r="W25" s="2">
        <v>0</v>
      </c>
      <c r="X25" s="2">
        <v>0</v>
      </c>
      <c r="Y25" s="2">
        <v>0</v>
      </c>
      <c r="Z25" s="2">
        <v>0</v>
      </c>
    </row>
    <row r="26" spans="1:26" ht="43" customHeight="1" x14ac:dyDescent="0.2">
      <c r="A26" s="3">
        <v>25</v>
      </c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</row>
    <row r="33" s="1" customFormat="1" ht="16" x14ac:dyDescent="0.2"/>
    <row r="34" s="1" customFormat="1" ht="16" x14ac:dyDescent="0.2"/>
    <row r="35" s="1" customFormat="1" ht="16" x14ac:dyDescent="0.2"/>
    <row r="36" s="1" customFormat="1" ht="16" x14ac:dyDescent="0.2"/>
    <row r="37" s="1" customFormat="1" ht="16" x14ac:dyDescent="0.2"/>
    <row r="38" s="1" customFormat="1" ht="16" x14ac:dyDescent="0.2"/>
    <row r="39" s="1" customFormat="1" ht="16" x14ac:dyDescent="0.2"/>
    <row r="40" s="1" customFormat="1" ht="16" x14ac:dyDescent="0.2"/>
    <row r="41" s="1" customFormat="1" ht="16" x14ac:dyDescent="0.2"/>
    <row r="42" s="1" customFormat="1" ht="16" x14ac:dyDescent="0.2"/>
    <row r="43" s="1" customFormat="1" ht="16" x14ac:dyDescent="0.2"/>
    <row r="44" s="1" customFormat="1" ht="16" x14ac:dyDescent="0.2"/>
    <row r="45" s="1" customFormat="1" ht="16" x14ac:dyDescent="0.2"/>
    <row r="46" s="1" customFormat="1" ht="16" x14ac:dyDescent="0.2"/>
    <row r="47" s="1" customFormat="1" ht="16" x14ac:dyDescent="0.2"/>
    <row r="48" s="1" customFormat="1" ht="16" x14ac:dyDescent="0.2"/>
    <row r="49" s="1" customFormat="1" ht="16" x14ac:dyDescent="0.2"/>
    <row r="50" s="1" customFormat="1" ht="16" x14ac:dyDescent="0.2"/>
    <row r="51" s="1" customFormat="1" ht="16" x14ac:dyDescent="0.2"/>
    <row r="52" s="1" customFormat="1" ht="16" x14ac:dyDescent="0.2"/>
    <row r="53" s="1" customFormat="1" ht="16" x14ac:dyDescent="0.2"/>
    <row r="54" s="1" customFormat="1" ht="16" x14ac:dyDescent="0.2"/>
    <row r="55" s="1" customFormat="1" ht="16" x14ac:dyDescent="0.2"/>
    <row r="56" s="1" customFormat="1" ht="16" x14ac:dyDescent="0.2"/>
    <row r="57" s="1" customFormat="1" ht="16" x14ac:dyDescent="0.2"/>
    <row r="58" s="1" customFormat="1" ht="16" x14ac:dyDescent="0.2"/>
    <row r="59" s="1" customFormat="1" ht="16" x14ac:dyDescent="0.2"/>
    <row r="60" s="1" customFormat="1" ht="16" x14ac:dyDescent="0.2"/>
    <row r="61" s="1" customFormat="1" ht="16" x14ac:dyDescent="0.2"/>
    <row r="62" s="1" customFormat="1" ht="16" x14ac:dyDescent="0.2"/>
    <row r="63" s="1" customFormat="1" ht="16" x14ac:dyDescent="0.2"/>
    <row r="64" s="1" customFormat="1" ht="16" x14ac:dyDescent="0.2"/>
    <row r="65" s="1" customFormat="1" ht="16" x14ac:dyDescent="0.2"/>
    <row r="66" s="1" customFormat="1" ht="16" x14ac:dyDescent="0.2"/>
    <row r="67" s="1" customFormat="1" ht="16" x14ac:dyDescent="0.2"/>
    <row r="68" s="1" customFormat="1" ht="16" x14ac:dyDescent="0.2"/>
    <row r="69" s="1" customFormat="1" ht="16" x14ac:dyDescent="0.2"/>
    <row r="70" s="1" customFormat="1" ht="16" x14ac:dyDescent="0.2"/>
    <row r="71" s="1" customFormat="1" ht="16" x14ac:dyDescent="0.2"/>
    <row r="72" s="1" customFormat="1" ht="16" x14ac:dyDescent="0.2"/>
    <row r="73" s="1" customFormat="1" ht="16" x14ac:dyDescent="0.2"/>
    <row r="74" s="1" customFormat="1" ht="16" x14ac:dyDescent="0.2"/>
    <row r="75" s="1" customFormat="1" ht="16" x14ac:dyDescent="0.2"/>
    <row r="76" s="1" customFormat="1" ht="16" x14ac:dyDescent="0.2"/>
    <row r="77" s="1" customFormat="1" ht="16" x14ac:dyDescent="0.2"/>
    <row r="78" s="1" customFormat="1" ht="16" x14ac:dyDescent="0.2"/>
    <row r="79" s="1" customFormat="1" ht="16" x14ac:dyDescent="0.2"/>
    <row r="80" s="1" customFormat="1" ht="16" x14ac:dyDescent="0.2"/>
    <row r="81" s="1" customFormat="1" ht="16" x14ac:dyDescent="0.2"/>
    <row r="82" s="1" customFormat="1" ht="16" x14ac:dyDescent="0.2"/>
    <row r="83" s="1" customFormat="1" ht="16" x14ac:dyDescent="0.2"/>
    <row r="84" s="1" customFormat="1" ht="16" x14ac:dyDescent="0.2"/>
    <row r="85" s="1" customFormat="1" ht="16" x14ac:dyDescent="0.2"/>
    <row r="86" s="1" customFormat="1" ht="16" x14ac:dyDescent="0.2"/>
    <row r="87" s="1" customFormat="1" ht="16" x14ac:dyDescent="0.2"/>
    <row r="88" s="1" customFormat="1" ht="16" x14ac:dyDescent="0.2"/>
    <row r="89" s="1" customFormat="1" ht="16" x14ac:dyDescent="0.2"/>
    <row r="90" s="1" customFormat="1" ht="16" x14ac:dyDescent="0.2"/>
    <row r="91" s="1" customFormat="1" ht="16" x14ac:dyDescent="0.2"/>
    <row r="92" s="1" customFormat="1" ht="16" x14ac:dyDescent="0.2"/>
    <row r="93" s="1" customFormat="1" ht="16" x14ac:dyDescent="0.2"/>
    <row r="94" s="1" customFormat="1" ht="16" x14ac:dyDescent="0.2"/>
    <row r="95" s="1" customFormat="1" ht="16" x14ac:dyDescent="0.2"/>
    <row r="96" s="1" customFormat="1" ht="16" x14ac:dyDescent="0.2"/>
    <row r="97" s="1" customFormat="1" ht="16" x14ac:dyDescent="0.2"/>
    <row r="98" s="1" customFormat="1" ht="16" x14ac:dyDescent="0.2"/>
    <row r="99" s="1" customFormat="1" ht="16" x14ac:dyDescent="0.2"/>
    <row r="100" s="1" customFormat="1" ht="16" x14ac:dyDescent="0.2"/>
    <row r="101" s="1" customFormat="1" ht="16" x14ac:dyDescent="0.2"/>
    <row r="102" s="1" customFormat="1" ht="16" x14ac:dyDescent="0.2"/>
    <row r="103" s="1" customFormat="1" ht="16" x14ac:dyDescent="0.2"/>
    <row r="104" s="1" customFormat="1" ht="16" x14ac:dyDescent="0.2"/>
    <row r="105" s="1" customFormat="1" ht="16" x14ac:dyDescent="0.2"/>
    <row r="106" s="1" customFormat="1" ht="16" x14ac:dyDescent="0.2"/>
    <row r="107" s="1" customFormat="1" ht="16" x14ac:dyDescent="0.2"/>
    <row r="108" s="1" customFormat="1" ht="16" x14ac:dyDescent="0.2"/>
    <row r="109" s="1" customFormat="1" ht="16" x14ac:dyDescent="0.2"/>
    <row r="110" s="1" customFormat="1" ht="16" x14ac:dyDescent="0.2"/>
    <row r="111" s="1" customFormat="1" ht="16" x14ac:dyDescent="0.2"/>
    <row r="112" s="1" customFormat="1" ht="16" x14ac:dyDescent="0.2"/>
    <row r="113" s="1" customFormat="1" ht="16" x14ac:dyDescent="0.2"/>
    <row r="114" s="1" customFormat="1" ht="16" x14ac:dyDescent="0.2"/>
    <row r="115" s="1" customFormat="1" ht="16" x14ac:dyDescent="0.2"/>
    <row r="116" s="1" customFormat="1" ht="16" x14ac:dyDescent="0.2"/>
    <row r="117" s="1" customFormat="1" ht="16" x14ac:dyDescent="0.2"/>
    <row r="118" s="1" customFormat="1" ht="16" x14ac:dyDescent="0.2"/>
    <row r="119" s="1" customFormat="1" ht="16" x14ac:dyDescent="0.2"/>
    <row r="120" s="1" customFormat="1" ht="16" x14ac:dyDescent="0.2"/>
    <row r="121" s="1" customFormat="1" ht="16" x14ac:dyDescent="0.2"/>
    <row r="122" s="1" customFormat="1" ht="16" x14ac:dyDescent="0.2"/>
    <row r="123" s="1" customFormat="1" ht="16" x14ac:dyDescent="0.2"/>
    <row r="124" s="1" customFormat="1" ht="16" x14ac:dyDescent="0.2"/>
    <row r="125" s="1" customFormat="1" ht="16" x14ac:dyDescent="0.2"/>
    <row r="126" s="1" customFormat="1" ht="16" x14ac:dyDescent="0.2"/>
    <row r="127" s="1" customFormat="1" ht="16" x14ac:dyDescent="0.2"/>
    <row r="128" s="1" customFormat="1" ht="16" x14ac:dyDescent="0.2"/>
    <row r="129" s="1" customFormat="1" ht="16" x14ac:dyDescent="0.2"/>
    <row r="130" s="1" customFormat="1" ht="16" x14ac:dyDescent="0.2"/>
    <row r="131" s="1" customFormat="1" ht="16" x14ac:dyDescent="0.2"/>
    <row r="132" s="1" customFormat="1" ht="16" x14ac:dyDescent="0.2"/>
    <row r="133" s="1" customFormat="1" ht="16" x14ac:dyDescent="0.2"/>
    <row r="134" s="1" customFormat="1" ht="16" x14ac:dyDescent="0.2"/>
    <row r="135" s="1" customFormat="1" ht="16" x14ac:dyDescent="0.2"/>
    <row r="136" s="1" customFormat="1" ht="16" x14ac:dyDescent="0.2"/>
    <row r="137" s="1" customFormat="1" ht="16" x14ac:dyDescent="0.2"/>
    <row r="138" s="1" customFormat="1" ht="16" x14ac:dyDescent="0.2"/>
    <row r="139" s="1" customFormat="1" ht="16" x14ac:dyDescent="0.2"/>
    <row r="140" s="1" customFormat="1" ht="16" x14ac:dyDescent="0.2"/>
    <row r="141" s="1" customFormat="1" ht="16" x14ac:dyDescent="0.2"/>
    <row r="142" s="1" customFormat="1" ht="16" x14ac:dyDescent="0.2"/>
    <row r="143" s="1" customFormat="1" ht="16" x14ac:dyDescent="0.2"/>
    <row r="144" s="1" customFormat="1" ht="16" x14ac:dyDescent="0.2"/>
    <row r="145" s="1" customFormat="1" ht="16" x14ac:dyDescent="0.2"/>
    <row r="146" s="1" customFormat="1" ht="16" x14ac:dyDescent="0.2"/>
    <row r="147" s="1" customFormat="1" ht="16" x14ac:dyDescent="0.2"/>
    <row r="148" s="1" customFormat="1" ht="16" x14ac:dyDescent="0.2"/>
    <row r="149" s="1" customFormat="1" ht="16" x14ac:dyDescent="0.2"/>
    <row r="150" s="1" customFormat="1" ht="16" x14ac:dyDescent="0.2"/>
    <row r="151" s="1" customFormat="1" ht="16" x14ac:dyDescent="0.2"/>
    <row r="152" s="1" customFormat="1" ht="16" x14ac:dyDescent="0.2"/>
    <row r="153" s="1" customFormat="1" ht="16" x14ac:dyDescent="0.2"/>
    <row r="154" s="1" customFormat="1" ht="16" x14ac:dyDescent="0.2"/>
    <row r="155" s="1" customFormat="1" ht="16" x14ac:dyDescent="0.2"/>
    <row r="156" s="1" customFormat="1" ht="16" x14ac:dyDescent="0.2"/>
    <row r="157" s="1" customFormat="1" ht="16" x14ac:dyDescent="0.2"/>
    <row r="158" s="1" customFormat="1" ht="16" x14ac:dyDescent="0.2"/>
    <row r="159" s="1" customFormat="1" ht="16" x14ac:dyDescent="0.2"/>
    <row r="160" s="1" customFormat="1" ht="16" x14ac:dyDescent="0.2"/>
    <row r="161" s="1" customFormat="1" ht="16" x14ac:dyDescent="0.2"/>
    <row r="162" s="1" customFormat="1" ht="16" x14ac:dyDescent="0.2"/>
    <row r="163" s="1" customFormat="1" ht="16" x14ac:dyDescent="0.2"/>
    <row r="164" s="1" customFormat="1" ht="16" x14ac:dyDescent="0.2"/>
    <row r="165" s="1" customFormat="1" ht="16" x14ac:dyDescent="0.2"/>
    <row r="166" s="1" customFormat="1" ht="16" x14ac:dyDescent="0.2"/>
    <row r="167" s="1" customFormat="1" ht="16" x14ac:dyDescent="0.2"/>
    <row r="168" s="1" customFormat="1" ht="16" x14ac:dyDescent="0.2"/>
    <row r="169" s="1" customFormat="1" ht="16" x14ac:dyDescent="0.2"/>
    <row r="170" s="1" customFormat="1" ht="16" x14ac:dyDescent="0.2"/>
    <row r="171" s="1" customFormat="1" ht="16" x14ac:dyDescent="0.2"/>
    <row r="172" s="1" customFormat="1" ht="16" x14ac:dyDescent="0.2"/>
    <row r="173" s="1" customFormat="1" ht="16" x14ac:dyDescent="0.2"/>
    <row r="174" s="1" customFormat="1" ht="16" x14ac:dyDescent="0.2"/>
    <row r="175" s="1" customFormat="1" ht="16" x14ac:dyDescent="0.2"/>
    <row r="176" s="1" customFormat="1" ht="16" x14ac:dyDescent="0.2"/>
    <row r="177" s="1" customFormat="1" ht="16" x14ac:dyDescent="0.2"/>
    <row r="178" s="1" customFormat="1" ht="16" x14ac:dyDescent="0.2"/>
    <row r="179" s="1" customFormat="1" ht="16" x14ac:dyDescent="0.2"/>
    <row r="180" s="1" customFormat="1" ht="16" x14ac:dyDescent="0.2"/>
    <row r="181" s="1" customFormat="1" ht="16" x14ac:dyDescent="0.2"/>
    <row r="182" s="1" customFormat="1" ht="16" x14ac:dyDescent="0.2"/>
    <row r="183" s="1" customFormat="1" ht="16" x14ac:dyDescent="0.2"/>
    <row r="184" s="1" customFormat="1" ht="16" x14ac:dyDescent="0.2"/>
    <row r="185" s="1" customFormat="1" ht="16" x14ac:dyDescent="0.2"/>
    <row r="186" s="1" customFormat="1" ht="16" x14ac:dyDescent="0.2"/>
    <row r="187" s="1" customFormat="1" ht="16" x14ac:dyDescent="0.2"/>
    <row r="188" s="1" customFormat="1" ht="16" x14ac:dyDescent="0.2"/>
    <row r="189" s="1" customFormat="1" ht="16" x14ac:dyDescent="0.2"/>
    <row r="190" s="1" customFormat="1" ht="16" x14ac:dyDescent="0.2"/>
    <row r="191" s="1" customFormat="1" ht="16" x14ac:dyDescent="0.2"/>
    <row r="192" s="1" customFormat="1" ht="16" x14ac:dyDescent="0.2"/>
    <row r="193" s="1" customFormat="1" ht="16" x14ac:dyDescent="0.2"/>
    <row r="194" s="1" customFormat="1" ht="16" x14ac:dyDescent="0.2"/>
    <row r="195" s="1" customFormat="1" ht="16" x14ac:dyDescent="0.2"/>
    <row r="196" s="1" customFormat="1" ht="16" x14ac:dyDescent="0.2"/>
    <row r="197" s="1" customFormat="1" ht="16" x14ac:dyDescent="0.2"/>
    <row r="198" s="1" customFormat="1" ht="16" x14ac:dyDescent="0.2"/>
    <row r="199" s="1" customFormat="1" ht="16" x14ac:dyDescent="0.2"/>
    <row r="200" s="1" customFormat="1" ht="16" x14ac:dyDescent="0.2"/>
    <row r="201" s="1" customFormat="1" ht="16" x14ac:dyDescent="0.2"/>
    <row r="202" s="1" customFormat="1" ht="16" x14ac:dyDescent="0.2"/>
    <row r="203" s="1" customFormat="1" ht="16" x14ac:dyDescent="0.2"/>
    <row r="204" s="1" customFormat="1" ht="16" x14ac:dyDescent="0.2"/>
    <row r="205" s="1" customFormat="1" ht="16" x14ac:dyDescent="0.2"/>
    <row r="206" s="1" customFormat="1" ht="16" x14ac:dyDescent="0.2"/>
    <row r="207" s="1" customFormat="1" ht="16" x14ac:dyDescent="0.2"/>
    <row r="208" s="1" customFormat="1" ht="16" x14ac:dyDescent="0.2"/>
    <row r="209" s="1" customFormat="1" ht="16" x14ac:dyDescent="0.2"/>
    <row r="210" s="1" customFormat="1" ht="16" x14ac:dyDescent="0.2"/>
    <row r="211" s="1" customFormat="1" ht="16" x14ac:dyDescent="0.2"/>
    <row r="212" s="1" customFormat="1" ht="16" x14ac:dyDescent="0.2"/>
    <row r="213" s="1" customFormat="1" ht="16" x14ac:dyDescent="0.2"/>
    <row r="214" s="1" customFormat="1" ht="16" x14ac:dyDescent="0.2"/>
    <row r="215" s="1" customFormat="1" ht="16" x14ac:dyDescent="0.2"/>
    <row r="216" s="1" customFormat="1" ht="16" x14ac:dyDescent="0.2"/>
    <row r="217" s="1" customFormat="1" ht="16" x14ac:dyDescent="0.2"/>
    <row r="218" s="1" customFormat="1" ht="16" x14ac:dyDescent="0.2"/>
    <row r="219" s="1" customFormat="1" ht="16" x14ac:dyDescent="0.2"/>
    <row r="220" s="1" customFormat="1" ht="16" x14ac:dyDescent="0.2"/>
    <row r="221" s="1" customFormat="1" ht="16" x14ac:dyDescent="0.2"/>
    <row r="222" s="1" customFormat="1" ht="16" x14ac:dyDescent="0.2"/>
    <row r="223" s="1" customFormat="1" ht="16" x14ac:dyDescent="0.2"/>
    <row r="224" s="1" customFormat="1" ht="16" x14ac:dyDescent="0.2"/>
    <row r="225" s="1" customFormat="1" ht="16" x14ac:dyDescent="0.2"/>
    <row r="226" s="1" customFormat="1" ht="16" x14ac:dyDescent="0.2"/>
    <row r="227" s="1" customFormat="1" ht="16" x14ac:dyDescent="0.2"/>
    <row r="228" s="1" customFormat="1" ht="16" x14ac:dyDescent="0.2"/>
    <row r="229" s="1" customFormat="1" ht="16" x14ac:dyDescent="0.2"/>
    <row r="230" s="1" customFormat="1" ht="16" x14ac:dyDescent="0.2"/>
    <row r="231" s="1" customFormat="1" ht="16" x14ac:dyDescent="0.2"/>
    <row r="232" s="1" customFormat="1" ht="16" x14ac:dyDescent="0.2"/>
    <row r="233" s="1" customFormat="1" ht="16" x14ac:dyDescent="0.2"/>
    <row r="234" s="1" customFormat="1" ht="16" x14ac:dyDescent="0.2"/>
    <row r="235" s="1" customFormat="1" ht="16" x14ac:dyDescent="0.2"/>
    <row r="236" s="1" customFormat="1" ht="16" x14ac:dyDescent="0.2"/>
    <row r="237" s="1" customFormat="1" ht="16" x14ac:dyDescent="0.2"/>
    <row r="238" s="1" customFormat="1" ht="16" x14ac:dyDescent="0.2"/>
    <row r="239" s="1" customFormat="1" ht="16" x14ac:dyDescent="0.2"/>
    <row r="240" s="1" customFormat="1" ht="16" x14ac:dyDescent="0.2"/>
    <row r="241" s="1" customFormat="1" ht="16" x14ac:dyDescent="0.2"/>
    <row r="242" s="1" customFormat="1" ht="16" x14ac:dyDescent="0.2"/>
    <row r="243" s="1" customFormat="1" ht="16" x14ac:dyDescent="0.2"/>
    <row r="244" s="1" customFormat="1" ht="16" x14ac:dyDescent="0.2"/>
    <row r="245" s="1" customFormat="1" ht="16" x14ac:dyDescent="0.2"/>
    <row r="246" s="1" customFormat="1" ht="16" x14ac:dyDescent="0.2"/>
    <row r="247" s="1" customFormat="1" ht="16" x14ac:dyDescent="0.2"/>
    <row r="248" s="1" customFormat="1" ht="16" x14ac:dyDescent="0.2"/>
    <row r="249" s="1" customFormat="1" ht="16" x14ac:dyDescent="0.2"/>
    <row r="250" s="1" customFormat="1" ht="16" x14ac:dyDescent="0.2"/>
    <row r="251" s="1" customFormat="1" ht="16" x14ac:dyDescent="0.2"/>
    <row r="252" s="1" customFormat="1" ht="16" x14ac:dyDescent="0.2"/>
    <row r="253" s="1" customFormat="1" ht="16" x14ac:dyDescent="0.2"/>
    <row r="254" s="1" customFormat="1" ht="16" x14ac:dyDescent="0.2"/>
    <row r="255" s="1" customFormat="1" ht="16" x14ac:dyDescent="0.2"/>
    <row r="256" s="1" customFormat="1" ht="16" x14ac:dyDescent="0.2"/>
    <row r="257" s="1" customFormat="1" ht="16" x14ac:dyDescent="0.2"/>
    <row r="258" s="1" customFormat="1" ht="16" x14ac:dyDescent="0.2"/>
    <row r="259" s="1" customFormat="1" ht="16" x14ac:dyDescent="0.2"/>
    <row r="260" s="1" customFormat="1" ht="16" x14ac:dyDescent="0.2"/>
    <row r="261" s="1" customFormat="1" ht="16" x14ac:dyDescent="0.2"/>
    <row r="262" s="1" customFormat="1" ht="16" x14ac:dyDescent="0.2"/>
    <row r="263" s="1" customFormat="1" ht="16" x14ac:dyDescent="0.2"/>
    <row r="264" s="1" customFormat="1" ht="16" x14ac:dyDescent="0.2"/>
    <row r="265" s="1" customFormat="1" ht="16" x14ac:dyDescent="0.2"/>
    <row r="266" s="1" customFormat="1" ht="16" x14ac:dyDescent="0.2"/>
    <row r="267" s="1" customFormat="1" ht="16" x14ac:dyDescent="0.2"/>
    <row r="268" s="1" customFormat="1" ht="16" x14ac:dyDescent="0.2"/>
    <row r="269" s="1" customFormat="1" ht="16" x14ac:dyDescent="0.2"/>
    <row r="270" s="1" customFormat="1" ht="16" x14ac:dyDescent="0.2"/>
    <row r="271" s="1" customFormat="1" ht="16" x14ac:dyDescent="0.2"/>
    <row r="272" s="1" customFormat="1" ht="16" x14ac:dyDescent="0.2"/>
    <row r="273" s="1" customFormat="1" ht="16" x14ac:dyDescent="0.2"/>
    <row r="274" s="1" customFormat="1" ht="16" x14ac:dyDescent="0.2"/>
    <row r="275" s="1" customFormat="1" ht="16" x14ac:dyDescent="0.2"/>
    <row r="276" s="1" customFormat="1" ht="16" x14ac:dyDescent="0.2"/>
    <row r="277" s="1" customFormat="1" ht="16" x14ac:dyDescent="0.2"/>
    <row r="278" s="1" customFormat="1" ht="16" x14ac:dyDescent="0.2"/>
    <row r="279" s="1" customFormat="1" ht="16" x14ac:dyDescent="0.2"/>
    <row r="280" s="1" customFormat="1" ht="16" x14ac:dyDescent="0.2"/>
    <row r="281" s="1" customFormat="1" ht="16" x14ac:dyDescent="0.2"/>
    <row r="282" s="1" customFormat="1" ht="16" x14ac:dyDescent="0.2"/>
    <row r="283" s="1" customFormat="1" ht="16" x14ac:dyDescent="0.2"/>
    <row r="284" s="1" customFormat="1" ht="16" x14ac:dyDescent="0.2"/>
    <row r="285" s="1" customFormat="1" ht="16" x14ac:dyDescent="0.2"/>
    <row r="286" s="1" customFormat="1" ht="16" x14ac:dyDescent="0.2"/>
    <row r="287" s="1" customFormat="1" ht="16" x14ac:dyDescent="0.2"/>
    <row r="288" s="1" customFormat="1" ht="16" x14ac:dyDescent="0.2"/>
    <row r="289" s="1" customFormat="1" ht="16" x14ac:dyDescent="0.2"/>
    <row r="290" s="1" customFormat="1" ht="16" x14ac:dyDescent="0.2"/>
    <row r="291" s="1" customFormat="1" ht="16" x14ac:dyDescent="0.2"/>
    <row r="292" s="1" customFormat="1" ht="16" x14ac:dyDescent="0.2"/>
    <row r="293" s="1" customFormat="1" ht="16" x14ac:dyDescent="0.2"/>
    <row r="294" s="1" customFormat="1" ht="16" x14ac:dyDescent="0.2"/>
    <row r="295" s="1" customFormat="1" ht="16" x14ac:dyDescent="0.2"/>
    <row r="296" s="1" customFormat="1" ht="16" x14ac:dyDescent="0.2"/>
    <row r="297" s="1" customFormat="1" ht="16" x14ac:dyDescent="0.2"/>
    <row r="298" s="1" customFormat="1" ht="16" x14ac:dyDescent="0.2"/>
    <row r="299" s="1" customFormat="1" ht="16" x14ac:dyDescent="0.2"/>
    <row r="300" s="1" customFormat="1" ht="16" x14ac:dyDescent="0.2"/>
    <row r="301" s="1" customFormat="1" ht="16" x14ac:dyDescent="0.2"/>
    <row r="302" s="1" customFormat="1" ht="16" x14ac:dyDescent="0.2"/>
    <row r="303" s="1" customFormat="1" ht="16" x14ac:dyDescent="0.2"/>
    <row r="304" s="1" customFormat="1" ht="16" x14ac:dyDescent="0.2"/>
    <row r="305" s="1" customFormat="1" ht="16" x14ac:dyDescent="0.2"/>
    <row r="306" s="1" customFormat="1" ht="16" x14ac:dyDescent="0.2"/>
    <row r="307" s="1" customFormat="1" ht="16" x14ac:dyDescent="0.2"/>
    <row r="308" s="1" customFormat="1" ht="16" x14ac:dyDescent="0.2"/>
    <row r="309" s="1" customFormat="1" ht="16" x14ac:dyDescent="0.2"/>
    <row r="310" s="1" customFormat="1" ht="16" x14ac:dyDescent="0.2"/>
    <row r="311" s="1" customFormat="1" ht="16" x14ac:dyDescent="0.2"/>
    <row r="312" s="1" customFormat="1" ht="16" x14ac:dyDescent="0.2"/>
    <row r="313" s="1" customFormat="1" ht="16" x14ac:dyDescent="0.2"/>
    <row r="314" s="1" customFormat="1" ht="16" x14ac:dyDescent="0.2"/>
    <row r="315" s="1" customFormat="1" ht="16" x14ac:dyDescent="0.2"/>
    <row r="316" s="1" customFormat="1" ht="16" x14ac:dyDescent="0.2"/>
    <row r="317" s="1" customFormat="1" ht="16" x14ac:dyDescent="0.2"/>
    <row r="318" s="1" customFormat="1" ht="16" x14ac:dyDescent="0.2"/>
    <row r="319" s="1" customFormat="1" ht="16" x14ac:dyDescent="0.2"/>
    <row r="320" s="1" customFormat="1" ht="16" x14ac:dyDescent="0.2"/>
    <row r="321" s="1" customFormat="1" ht="16" x14ac:dyDescent="0.2"/>
    <row r="322" s="1" customFormat="1" ht="16" x14ac:dyDescent="0.2"/>
    <row r="323" s="1" customFormat="1" ht="16" x14ac:dyDescent="0.2"/>
    <row r="324" s="1" customFormat="1" ht="16" x14ac:dyDescent="0.2"/>
    <row r="325" s="1" customFormat="1" ht="16" x14ac:dyDescent="0.2"/>
    <row r="326" s="1" customFormat="1" ht="16" x14ac:dyDescent="0.2"/>
    <row r="327" s="1" customFormat="1" ht="16" x14ac:dyDescent="0.2"/>
    <row r="328" s="1" customFormat="1" ht="16" x14ac:dyDescent="0.2"/>
    <row r="329" s="1" customFormat="1" ht="16" x14ac:dyDescent="0.2"/>
    <row r="330" s="1" customFormat="1" ht="16" x14ac:dyDescent="0.2"/>
    <row r="331" s="1" customFormat="1" ht="16" x14ac:dyDescent="0.2"/>
    <row r="332" s="1" customFormat="1" ht="16" x14ac:dyDescent="0.2"/>
    <row r="333" s="1" customFormat="1" ht="16" x14ac:dyDescent="0.2"/>
    <row r="334" s="1" customFormat="1" ht="16" x14ac:dyDescent="0.2"/>
    <row r="335" s="1" customFormat="1" ht="16" x14ac:dyDescent="0.2"/>
    <row r="336" s="1" customFormat="1" ht="16" x14ac:dyDescent="0.2"/>
    <row r="337" s="1" customFormat="1" ht="16" x14ac:dyDescent="0.2"/>
    <row r="338" s="1" customFormat="1" ht="16" x14ac:dyDescent="0.2"/>
    <row r="339" s="1" customFormat="1" ht="16" x14ac:dyDescent="0.2"/>
    <row r="340" s="1" customFormat="1" ht="16" x14ac:dyDescent="0.2"/>
    <row r="341" s="1" customFormat="1" ht="16" x14ac:dyDescent="0.2"/>
    <row r="342" s="1" customFormat="1" ht="16" x14ac:dyDescent="0.2"/>
    <row r="343" s="1" customFormat="1" ht="16" x14ac:dyDescent="0.2"/>
    <row r="344" s="1" customFormat="1" ht="16" x14ac:dyDescent="0.2"/>
    <row r="345" s="1" customFormat="1" ht="16" x14ac:dyDescent="0.2"/>
    <row r="346" s="1" customFormat="1" ht="16" x14ac:dyDescent="0.2"/>
    <row r="347" s="1" customFormat="1" ht="16" x14ac:dyDescent="0.2"/>
    <row r="348" s="1" customFormat="1" ht="16" x14ac:dyDescent="0.2"/>
    <row r="349" s="1" customFormat="1" ht="16" x14ac:dyDescent="0.2"/>
    <row r="350" s="1" customFormat="1" ht="16" x14ac:dyDescent="0.2"/>
    <row r="351" s="1" customFormat="1" ht="16" x14ac:dyDescent="0.2"/>
    <row r="352" s="1" customFormat="1" ht="16" x14ac:dyDescent="0.2"/>
    <row r="353" s="1" customFormat="1" ht="16" x14ac:dyDescent="0.2"/>
    <row r="354" s="1" customFormat="1" ht="16" x14ac:dyDescent="0.2"/>
    <row r="355" s="1" customFormat="1" ht="16" x14ac:dyDescent="0.2"/>
    <row r="356" s="1" customFormat="1" ht="16" x14ac:dyDescent="0.2"/>
    <row r="357" s="1" customFormat="1" ht="16" x14ac:dyDescent="0.2"/>
    <row r="358" s="1" customFormat="1" ht="16" x14ac:dyDescent="0.2"/>
    <row r="359" s="1" customFormat="1" ht="16" x14ac:dyDescent="0.2"/>
    <row r="360" s="1" customFormat="1" ht="16" x14ac:dyDescent="0.2"/>
    <row r="361" s="1" customFormat="1" ht="16" x14ac:dyDescent="0.2"/>
    <row r="362" s="1" customFormat="1" ht="16" x14ac:dyDescent="0.2"/>
    <row r="363" s="1" customFormat="1" ht="16" x14ac:dyDescent="0.2"/>
    <row r="364" s="1" customFormat="1" ht="16" x14ac:dyDescent="0.2"/>
    <row r="365" s="1" customFormat="1" ht="16" x14ac:dyDescent="0.2"/>
    <row r="366" s="1" customFormat="1" ht="16" x14ac:dyDescent="0.2"/>
    <row r="367" s="1" customFormat="1" ht="16" x14ac:dyDescent="0.2"/>
    <row r="368" s="1" customFormat="1" ht="16" x14ac:dyDescent="0.2"/>
    <row r="369" s="1" customFormat="1" ht="16" x14ac:dyDescent="0.2"/>
    <row r="370" s="1" customFormat="1" ht="16" x14ac:dyDescent="0.2"/>
    <row r="371" s="1" customFormat="1" ht="16" x14ac:dyDescent="0.2"/>
    <row r="372" s="1" customFormat="1" ht="16" x14ac:dyDescent="0.2"/>
    <row r="373" s="1" customFormat="1" ht="16" x14ac:dyDescent="0.2"/>
    <row r="374" s="1" customFormat="1" ht="16" x14ac:dyDescent="0.2"/>
    <row r="375" s="1" customFormat="1" ht="16" x14ac:dyDescent="0.2"/>
    <row r="376" s="1" customFormat="1" ht="16" x14ac:dyDescent="0.2"/>
    <row r="377" s="1" customFormat="1" ht="16" x14ac:dyDescent="0.2"/>
    <row r="378" s="1" customFormat="1" ht="16" x14ac:dyDescent="0.2"/>
    <row r="379" s="1" customFormat="1" ht="16" x14ac:dyDescent="0.2"/>
    <row r="380" s="1" customFormat="1" ht="16" x14ac:dyDescent="0.2"/>
    <row r="381" s="1" customFormat="1" ht="16" x14ac:dyDescent="0.2"/>
    <row r="382" s="1" customFormat="1" ht="16" x14ac:dyDescent="0.2"/>
    <row r="383" s="1" customFormat="1" ht="16" x14ac:dyDescent="0.2"/>
    <row r="384" s="1" customFormat="1" ht="16" x14ac:dyDescent="0.2"/>
    <row r="385" s="1" customFormat="1" ht="16" x14ac:dyDescent="0.2"/>
    <row r="386" s="1" customFormat="1" ht="16" x14ac:dyDescent="0.2"/>
    <row r="387" s="1" customFormat="1" ht="16" x14ac:dyDescent="0.2"/>
    <row r="388" s="1" customFormat="1" ht="16" x14ac:dyDescent="0.2"/>
    <row r="389" s="1" customFormat="1" ht="16" x14ac:dyDescent="0.2"/>
    <row r="390" s="1" customFormat="1" ht="16" x14ac:dyDescent="0.2"/>
    <row r="391" s="1" customFormat="1" ht="16" x14ac:dyDescent="0.2"/>
    <row r="392" s="1" customFormat="1" ht="16" x14ac:dyDescent="0.2"/>
    <row r="393" s="1" customFormat="1" ht="16" x14ac:dyDescent="0.2"/>
    <row r="394" s="1" customFormat="1" ht="16" x14ac:dyDescent="0.2"/>
    <row r="395" s="1" customFormat="1" ht="16" x14ac:dyDescent="0.2"/>
    <row r="396" s="1" customFormat="1" ht="16" x14ac:dyDescent="0.2"/>
    <row r="397" s="1" customFormat="1" ht="16" x14ac:dyDescent="0.2"/>
    <row r="398" s="1" customFormat="1" ht="16" x14ac:dyDescent="0.2"/>
    <row r="399" s="1" customFormat="1" ht="16" x14ac:dyDescent="0.2"/>
    <row r="400" s="1" customFormat="1" ht="16" x14ac:dyDescent="0.2"/>
    <row r="401" s="1" customFormat="1" ht="16" x14ac:dyDescent="0.2"/>
  </sheetData>
  <conditionalFormatting sqref="B2:Z2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3">
      <colorScale>
        <cfvo type="min"/>
        <cfvo type="max"/>
        <color theme="0"/>
        <color rgb="FFFF0000"/>
      </colorScale>
    </cfRule>
  </conditionalFormatting>
  <conditionalFormatting sqref="T12">
    <cfRule type="colorScale" priority="2">
      <colorScale>
        <cfvo type="min"/>
        <cfvo type="max"/>
        <color theme="5" tint="0.79998168889431442"/>
        <color rgb="FFFF0000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01"/>
  <sheetViews>
    <sheetView topLeftCell="A17" workbookViewId="0"/>
  </sheetViews>
  <sheetFormatPr baseColWidth="10" defaultRowHeight="21" x14ac:dyDescent="0.2"/>
  <cols>
    <col min="1" max="1" width="7.1640625" style="4" customWidth="1"/>
    <col min="2" max="26" width="7.1640625" style="1" customWidth="1"/>
    <col min="27" max="16384" width="10.83203125" style="1"/>
  </cols>
  <sheetData>
    <row r="1" spans="1:26" s="4" customFormat="1" ht="43" customHeight="1" x14ac:dyDescent="0.2">
      <c r="A1" s="6" t="s">
        <v>0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  <c r="V1" s="3">
        <v>21</v>
      </c>
      <c r="W1" s="3">
        <v>22</v>
      </c>
      <c r="X1" s="3">
        <v>23</v>
      </c>
      <c r="Y1" s="3">
        <v>24</v>
      </c>
      <c r="Z1" s="3">
        <v>25</v>
      </c>
    </row>
    <row r="2" spans="1:26" ht="43" customHeight="1" x14ac:dyDescent="0.2">
      <c r="A2" s="3">
        <v>1</v>
      </c>
      <c r="B2" s="2">
        <v>173</v>
      </c>
      <c r="C2" s="2">
        <v>4768</v>
      </c>
      <c r="D2" s="2">
        <v>175</v>
      </c>
      <c r="E2" s="2">
        <v>245</v>
      </c>
      <c r="F2" s="2">
        <v>12</v>
      </c>
      <c r="G2" s="2">
        <v>2</v>
      </c>
      <c r="H2" s="2">
        <v>4</v>
      </c>
      <c r="I2" s="2">
        <v>12</v>
      </c>
      <c r="J2" s="2">
        <v>2</v>
      </c>
      <c r="K2" s="2">
        <v>4</v>
      </c>
      <c r="L2" s="2">
        <v>8</v>
      </c>
      <c r="M2" s="2">
        <v>10</v>
      </c>
      <c r="N2" s="2">
        <v>4</v>
      </c>
      <c r="O2" s="2">
        <v>4</v>
      </c>
      <c r="P2" s="2">
        <v>2</v>
      </c>
      <c r="Q2" s="2">
        <v>7</v>
      </c>
      <c r="R2" s="2">
        <v>4</v>
      </c>
      <c r="S2" s="2">
        <v>8</v>
      </c>
      <c r="T2" s="2">
        <v>6</v>
      </c>
      <c r="U2" s="2">
        <v>15</v>
      </c>
      <c r="V2" s="2">
        <v>4</v>
      </c>
      <c r="W2" s="2">
        <v>8</v>
      </c>
      <c r="X2" s="2">
        <v>35</v>
      </c>
      <c r="Y2" s="2">
        <v>0</v>
      </c>
      <c r="Z2" s="2">
        <v>0</v>
      </c>
    </row>
    <row r="3" spans="1:26" ht="43" customHeight="1" x14ac:dyDescent="0.2">
      <c r="A3" s="3">
        <v>2</v>
      </c>
      <c r="B3" s="2">
        <v>2637</v>
      </c>
      <c r="C3" s="2">
        <v>68</v>
      </c>
      <c r="D3" s="2">
        <v>25</v>
      </c>
      <c r="E3" s="2">
        <v>7</v>
      </c>
      <c r="F3" s="2">
        <v>6</v>
      </c>
      <c r="G3" s="2">
        <v>2</v>
      </c>
      <c r="H3" s="2">
        <v>7</v>
      </c>
      <c r="I3" s="2">
        <v>7</v>
      </c>
      <c r="J3" s="2">
        <v>5</v>
      </c>
      <c r="K3" s="2">
        <v>10</v>
      </c>
      <c r="L3" s="2">
        <v>5</v>
      </c>
      <c r="M3" s="2">
        <v>9</v>
      </c>
      <c r="N3" s="2">
        <v>7</v>
      </c>
      <c r="O3" s="2">
        <v>1</v>
      </c>
      <c r="P3" s="2">
        <v>8</v>
      </c>
      <c r="Q3" s="2">
        <v>2</v>
      </c>
      <c r="R3" s="2">
        <v>5</v>
      </c>
      <c r="S3" s="2">
        <v>4</v>
      </c>
      <c r="T3" s="2">
        <v>7</v>
      </c>
      <c r="U3" s="2">
        <v>3</v>
      </c>
      <c r="V3" s="2">
        <v>8</v>
      </c>
      <c r="W3" s="2">
        <v>0</v>
      </c>
      <c r="X3" s="2">
        <v>0</v>
      </c>
      <c r="Y3" s="2">
        <v>0</v>
      </c>
      <c r="Z3" s="2">
        <v>0</v>
      </c>
    </row>
    <row r="4" spans="1:26" ht="43" customHeight="1" x14ac:dyDescent="0.2">
      <c r="A4" s="3">
        <v>3</v>
      </c>
      <c r="B4" s="2">
        <v>11</v>
      </c>
      <c r="C4" s="2">
        <v>5</v>
      </c>
      <c r="D4" s="2">
        <v>22</v>
      </c>
      <c r="E4" s="2">
        <v>22</v>
      </c>
      <c r="F4" s="2">
        <v>4</v>
      </c>
      <c r="G4" s="2">
        <v>8</v>
      </c>
      <c r="H4" s="2">
        <v>6</v>
      </c>
      <c r="I4" s="2">
        <v>12</v>
      </c>
      <c r="J4" s="2">
        <v>8</v>
      </c>
      <c r="K4" s="2">
        <v>4</v>
      </c>
      <c r="L4" s="2">
        <v>0</v>
      </c>
      <c r="M4" s="2">
        <v>7</v>
      </c>
      <c r="N4" s="2">
        <v>1</v>
      </c>
      <c r="O4" s="2">
        <v>3</v>
      </c>
      <c r="P4" s="2">
        <v>1</v>
      </c>
      <c r="Q4" s="2">
        <v>5</v>
      </c>
      <c r="R4" s="2">
        <v>1</v>
      </c>
      <c r="S4" s="2">
        <v>3</v>
      </c>
      <c r="T4" s="2">
        <v>6</v>
      </c>
      <c r="U4" s="2">
        <v>10</v>
      </c>
      <c r="V4" s="2">
        <v>1</v>
      </c>
      <c r="W4" s="2">
        <v>0</v>
      </c>
      <c r="X4" s="2">
        <v>0</v>
      </c>
      <c r="Y4" s="2">
        <v>0</v>
      </c>
      <c r="Z4" s="2">
        <v>0</v>
      </c>
    </row>
    <row r="5" spans="1:26" ht="43" customHeight="1" x14ac:dyDescent="0.2">
      <c r="A5" s="3">
        <v>4</v>
      </c>
      <c r="B5" s="2">
        <v>3</v>
      </c>
      <c r="C5" s="2">
        <v>5</v>
      </c>
      <c r="D5" s="2">
        <v>29</v>
      </c>
      <c r="E5" s="2">
        <v>8</v>
      </c>
      <c r="F5" s="2">
        <v>2</v>
      </c>
      <c r="G5" s="2">
        <v>4</v>
      </c>
      <c r="H5" s="2">
        <v>9</v>
      </c>
      <c r="I5" s="2">
        <v>9</v>
      </c>
      <c r="J5" s="2">
        <v>2</v>
      </c>
      <c r="K5" s="2">
        <v>5</v>
      </c>
      <c r="L5" s="2">
        <v>5</v>
      </c>
      <c r="M5" s="2">
        <v>1</v>
      </c>
      <c r="N5" s="2">
        <v>6</v>
      </c>
      <c r="O5" s="2">
        <v>5</v>
      </c>
      <c r="P5" s="2">
        <v>0</v>
      </c>
      <c r="Q5" s="2">
        <v>2</v>
      </c>
      <c r="R5" s="2">
        <v>1</v>
      </c>
      <c r="S5" s="2">
        <v>3</v>
      </c>
      <c r="T5" s="2">
        <v>4</v>
      </c>
      <c r="U5" s="2">
        <v>4</v>
      </c>
      <c r="V5" s="2">
        <v>0</v>
      </c>
      <c r="W5" s="2">
        <v>0</v>
      </c>
      <c r="X5" s="2">
        <v>0</v>
      </c>
      <c r="Y5" s="2">
        <v>0</v>
      </c>
      <c r="Z5" s="2">
        <v>0</v>
      </c>
    </row>
    <row r="6" spans="1:26" ht="43" customHeight="1" x14ac:dyDescent="0.2">
      <c r="A6" s="3">
        <v>5</v>
      </c>
      <c r="B6" s="2">
        <v>3</v>
      </c>
      <c r="C6" s="2">
        <v>3</v>
      </c>
      <c r="D6" s="2">
        <v>24</v>
      </c>
      <c r="E6" s="2">
        <v>7</v>
      </c>
      <c r="F6" s="2">
        <v>3</v>
      </c>
      <c r="G6" s="2">
        <v>11</v>
      </c>
      <c r="H6" s="2">
        <v>22</v>
      </c>
      <c r="I6" s="2">
        <v>6</v>
      </c>
      <c r="J6" s="2">
        <v>1</v>
      </c>
      <c r="K6" s="2">
        <v>4</v>
      </c>
      <c r="L6" s="2">
        <v>7</v>
      </c>
      <c r="M6" s="2">
        <v>4</v>
      </c>
      <c r="N6" s="2">
        <v>1</v>
      </c>
      <c r="O6" s="2">
        <v>2</v>
      </c>
      <c r="P6" s="2">
        <v>1</v>
      </c>
      <c r="Q6" s="2">
        <v>0</v>
      </c>
      <c r="R6" s="2">
        <v>0</v>
      </c>
      <c r="S6" s="2">
        <v>10</v>
      </c>
      <c r="T6" s="2">
        <v>7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</row>
    <row r="7" spans="1:26" ht="43" customHeight="1" x14ac:dyDescent="0.2">
      <c r="A7" s="3">
        <v>6</v>
      </c>
      <c r="B7" s="2">
        <v>2</v>
      </c>
      <c r="C7" s="2">
        <v>0</v>
      </c>
      <c r="D7" s="2">
        <v>20</v>
      </c>
      <c r="E7" s="2">
        <v>6</v>
      </c>
      <c r="F7" s="2">
        <v>0</v>
      </c>
      <c r="G7" s="2">
        <v>3</v>
      </c>
      <c r="H7" s="2">
        <v>3</v>
      </c>
      <c r="I7" s="2">
        <v>0</v>
      </c>
      <c r="J7" s="2">
        <v>0</v>
      </c>
      <c r="K7" s="2">
        <v>1</v>
      </c>
      <c r="L7" s="2">
        <v>0</v>
      </c>
      <c r="M7" s="2">
        <v>3</v>
      </c>
      <c r="N7" s="2">
        <v>6</v>
      </c>
      <c r="O7" s="2">
        <v>1</v>
      </c>
      <c r="P7" s="2">
        <v>1</v>
      </c>
      <c r="Q7" s="2">
        <v>0</v>
      </c>
      <c r="R7" s="2">
        <v>6</v>
      </c>
      <c r="S7" s="2">
        <v>3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</row>
    <row r="8" spans="1:26" ht="43" customHeight="1" x14ac:dyDescent="0.2">
      <c r="A8" s="3">
        <v>7</v>
      </c>
      <c r="B8" s="2">
        <v>3</v>
      </c>
      <c r="C8" s="2">
        <v>5</v>
      </c>
      <c r="D8" s="2">
        <v>43</v>
      </c>
      <c r="E8" s="2">
        <v>12</v>
      </c>
      <c r="F8" s="2">
        <v>5</v>
      </c>
      <c r="G8" s="2">
        <v>0</v>
      </c>
      <c r="H8" s="2">
        <v>10</v>
      </c>
      <c r="I8" s="2">
        <v>1</v>
      </c>
      <c r="J8" s="2">
        <v>3</v>
      </c>
      <c r="K8" s="2">
        <v>2</v>
      </c>
      <c r="L8" s="2">
        <v>4</v>
      </c>
      <c r="M8" s="2">
        <v>1</v>
      </c>
      <c r="N8" s="2">
        <v>4</v>
      </c>
      <c r="O8" s="2">
        <v>1</v>
      </c>
      <c r="P8" s="2">
        <v>0</v>
      </c>
      <c r="Q8" s="2">
        <v>15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</row>
    <row r="9" spans="1:26" ht="43" customHeight="1" x14ac:dyDescent="0.2">
      <c r="A9" s="3">
        <v>8</v>
      </c>
      <c r="B9" s="2">
        <v>0</v>
      </c>
      <c r="C9" s="2">
        <v>3</v>
      </c>
      <c r="D9" s="2">
        <v>66</v>
      </c>
      <c r="E9" s="2">
        <v>7</v>
      </c>
      <c r="F9" s="2">
        <v>5</v>
      </c>
      <c r="G9" s="2">
        <v>1</v>
      </c>
      <c r="H9" s="2">
        <v>1</v>
      </c>
      <c r="I9" s="2">
        <v>0</v>
      </c>
      <c r="J9" s="2">
        <v>2</v>
      </c>
      <c r="K9" s="2">
        <v>1</v>
      </c>
      <c r="L9" s="2">
        <v>0</v>
      </c>
      <c r="M9" s="2">
        <v>0</v>
      </c>
      <c r="N9" s="2">
        <v>0</v>
      </c>
      <c r="O9" s="2">
        <v>0</v>
      </c>
      <c r="P9" s="2">
        <v>1</v>
      </c>
      <c r="Q9" s="2">
        <v>1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</row>
    <row r="10" spans="1:26" ht="43" customHeight="1" x14ac:dyDescent="0.2">
      <c r="A10" s="3">
        <v>9</v>
      </c>
      <c r="B10" s="2">
        <v>0</v>
      </c>
      <c r="C10" s="2">
        <v>8</v>
      </c>
      <c r="D10" s="2">
        <v>49</v>
      </c>
      <c r="E10" s="2">
        <v>4</v>
      </c>
      <c r="F10" s="2">
        <v>5</v>
      </c>
      <c r="G10" s="2">
        <v>1</v>
      </c>
      <c r="H10" s="2">
        <v>3</v>
      </c>
      <c r="I10" s="2">
        <v>1</v>
      </c>
      <c r="J10" s="2">
        <v>2</v>
      </c>
      <c r="K10" s="2">
        <v>0</v>
      </c>
      <c r="L10" s="2">
        <v>2</v>
      </c>
      <c r="M10" s="2">
        <v>0</v>
      </c>
      <c r="N10" s="2">
        <v>0</v>
      </c>
      <c r="O10" s="2">
        <v>1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</row>
    <row r="11" spans="1:26" ht="43" customHeight="1" x14ac:dyDescent="0.2">
      <c r="A11" s="3">
        <v>10</v>
      </c>
      <c r="B11" s="2">
        <v>1</v>
      </c>
      <c r="C11" s="2">
        <v>5</v>
      </c>
      <c r="D11" s="2">
        <v>21</v>
      </c>
      <c r="E11" s="2">
        <v>3</v>
      </c>
      <c r="F11" s="2">
        <v>4</v>
      </c>
      <c r="G11" s="2">
        <v>0</v>
      </c>
      <c r="H11" s="2">
        <v>7</v>
      </c>
      <c r="I11" s="2">
        <v>2</v>
      </c>
      <c r="J11" s="2">
        <v>0</v>
      </c>
      <c r="K11" s="2">
        <v>0</v>
      </c>
      <c r="L11" s="2">
        <v>1</v>
      </c>
      <c r="M11" s="2">
        <v>1</v>
      </c>
      <c r="N11" s="2">
        <v>2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</row>
    <row r="12" spans="1:26" ht="43" customHeight="1" x14ac:dyDescent="0.2">
      <c r="A12" s="3">
        <v>11</v>
      </c>
      <c r="B12" s="2">
        <v>2</v>
      </c>
      <c r="C12" s="2">
        <v>2</v>
      </c>
      <c r="D12" s="2">
        <v>31</v>
      </c>
      <c r="E12" s="2">
        <v>12</v>
      </c>
      <c r="F12" s="2">
        <v>5</v>
      </c>
      <c r="G12" s="2">
        <v>0</v>
      </c>
      <c r="H12" s="2">
        <v>1</v>
      </c>
      <c r="I12" s="2">
        <v>0</v>
      </c>
      <c r="J12" s="2">
        <v>1</v>
      </c>
      <c r="K12" s="2">
        <v>3</v>
      </c>
      <c r="L12" s="2">
        <v>0</v>
      </c>
      <c r="M12" s="2">
        <v>9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</row>
    <row r="13" spans="1:26" ht="43" customHeight="1" x14ac:dyDescent="0.2">
      <c r="A13" s="3">
        <v>12</v>
      </c>
      <c r="B13" s="2">
        <v>0</v>
      </c>
      <c r="C13" s="2">
        <v>5</v>
      </c>
      <c r="D13" s="2">
        <v>27</v>
      </c>
      <c r="E13" s="2">
        <v>15</v>
      </c>
      <c r="F13" s="2">
        <v>4</v>
      </c>
      <c r="G13" s="2">
        <v>0</v>
      </c>
      <c r="H13" s="2">
        <v>1</v>
      </c>
      <c r="I13" s="2">
        <v>0</v>
      </c>
      <c r="J13" s="2">
        <v>0</v>
      </c>
      <c r="K13" s="2">
        <v>1</v>
      </c>
      <c r="L13" s="2">
        <v>2</v>
      </c>
      <c r="M13" s="2">
        <v>1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</row>
    <row r="14" spans="1:26" ht="43" customHeight="1" x14ac:dyDescent="0.2">
      <c r="A14" s="3">
        <v>13</v>
      </c>
      <c r="B14" s="2">
        <v>1</v>
      </c>
      <c r="C14" s="2">
        <v>1</v>
      </c>
      <c r="D14" s="2">
        <v>45</v>
      </c>
      <c r="E14" s="2">
        <v>26</v>
      </c>
      <c r="F14" s="2">
        <v>5</v>
      </c>
      <c r="G14" s="2">
        <v>0</v>
      </c>
      <c r="H14" s="2">
        <v>0</v>
      </c>
      <c r="I14" s="2">
        <v>2</v>
      </c>
      <c r="J14" s="2">
        <v>0</v>
      </c>
      <c r="K14" s="2">
        <v>1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</row>
    <row r="15" spans="1:26" ht="43" customHeight="1" x14ac:dyDescent="0.2">
      <c r="A15" s="3">
        <v>14</v>
      </c>
      <c r="B15" s="2">
        <v>0</v>
      </c>
      <c r="C15" s="2">
        <v>2</v>
      </c>
      <c r="D15" s="2">
        <v>78</v>
      </c>
      <c r="E15" s="2">
        <v>39</v>
      </c>
      <c r="F15" s="2">
        <v>5</v>
      </c>
      <c r="G15" s="2">
        <v>1</v>
      </c>
      <c r="H15" s="2">
        <v>1</v>
      </c>
      <c r="I15" s="2">
        <v>0</v>
      </c>
      <c r="J15" s="2">
        <v>1</v>
      </c>
      <c r="K15" s="2">
        <v>2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</row>
    <row r="16" spans="1:26" ht="43" customHeight="1" x14ac:dyDescent="0.2">
      <c r="A16" s="3">
        <v>15</v>
      </c>
      <c r="B16" s="2">
        <v>3</v>
      </c>
      <c r="C16" s="2">
        <v>2</v>
      </c>
      <c r="D16" s="2">
        <v>91</v>
      </c>
      <c r="E16" s="2">
        <v>51</v>
      </c>
      <c r="F16" s="2">
        <v>2</v>
      </c>
      <c r="G16" s="2">
        <v>0</v>
      </c>
      <c r="H16" s="2">
        <v>1</v>
      </c>
      <c r="I16" s="2">
        <v>1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</row>
    <row r="17" spans="1:26" ht="43" customHeight="1" x14ac:dyDescent="0.2">
      <c r="A17" s="3">
        <v>16</v>
      </c>
      <c r="B17" s="2">
        <v>2</v>
      </c>
      <c r="C17" s="2">
        <v>2</v>
      </c>
      <c r="D17" s="2">
        <v>73</v>
      </c>
      <c r="E17" s="2">
        <v>16</v>
      </c>
      <c r="F17" s="2">
        <v>2</v>
      </c>
      <c r="G17" s="2">
        <v>0</v>
      </c>
      <c r="H17" s="2">
        <v>5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</row>
    <row r="18" spans="1:26" ht="43" customHeight="1" x14ac:dyDescent="0.2">
      <c r="A18" s="3">
        <v>17</v>
      </c>
      <c r="B18" s="2">
        <v>0</v>
      </c>
      <c r="C18" s="2">
        <v>2</v>
      </c>
      <c r="D18" s="2">
        <v>127</v>
      </c>
      <c r="E18" s="2">
        <v>8</v>
      </c>
      <c r="F18" s="2">
        <v>0</v>
      </c>
      <c r="G18" s="2">
        <v>2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</row>
    <row r="19" spans="1:26" ht="43" customHeight="1" x14ac:dyDescent="0.2">
      <c r="A19" s="3">
        <v>18</v>
      </c>
      <c r="B19" s="2">
        <v>0</v>
      </c>
      <c r="C19" s="2">
        <v>4</v>
      </c>
      <c r="D19" s="2">
        <v>128</v>
      </c>
      <c r="E19" s="2">
        <v>4</v>
      </c>
      <c r="F19" s="2">
        <v>2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</row>
    <row r="20" spans="1:26" ht="43" customHeight="1" x14ac:dyDescent="0.2">
      <c r="A20" s="3">
        <v>19</v>
      </c>
      <c r="B20" s="2">
        <v>4</v>
      </c>
      <c r="C20" s="2">
        <v>1</v>
      </c>
      <c r="D20" s="2">
        <v>67</v>
      </c>
      <c r="E20" s="2">
        <v>7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</row>
    <row r="21" spans="1:26" ht="43" customHeight="1" x14ac:dyDescent="0.2">
      <c r="A21" s="3">
        <v>20</v>
      </c>
      <c r="B21" s="2">
        <v>2</v>
      </c>
      <c r="C21" s="2">
        <v>2</v>
      </c>
      <c r="D21" s="2">
        <v>88</v>
      </c>
      <c r="E21" s="2">
        <v>3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</row>
    <row r="22" spans="1:26" ht="43" customHeight="1" x14ac:dyDescent="0.2">
      <c r="A22" s="3">
        <v>21</v>
      </c>
      <c r="B22" s="2">
        <v>2</v>
      </c>
      <c r="C22" s="2">
        <v>4</v>
      </c>
      <c r="D22" s="2">
        <v>54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</row>
    <row r="23" spans="1:26" ht="43" customHeight="1" x14ac:dyDescent="0.2">
      <c r="A23" s="3">
        <v>22</v>
      </c>
      <c r="B23" s="2">
        <v>2</v>
      </c>
      <c r="C23" s="2">
        <v>3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</row>
    <row r="24" spans="1:26" ht="43" customHeight="1" x14ac:dyDescent="0.2">
      <c r="A24" s="3">
        <v>23</v>
      </c>
      <c r="B24" s="2">
        <v>3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</row>
    <row r="25" spans="1:26" ht="43" customHeight="1" x14ac:dyDescent="0.2">
      <c r="A25" s="3">
        <v>24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</row>
    <row r="26" spans="1:26" ht="43" customHeight="1" x14ac:dyDescent="0.2">
      <c r="A26" s="3">
        <v>25</v>
      </c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</row>
    <row r="33" s="1" customFormat="1" ht="16" x14ac:dyDescent="0.2"/>
    <row r="34" s="1" customFormat="1" ht="16" x14ac:dyDescent="0.2"/>
    <row r="35" s="1" customFormat="1" ht="16" x14ac:dyDescent="0.2"/>
    <row r="36" s="1" customFormat="1" ht="16" x14ac:dyDescent="0.2"/>
    <row r="37" s="1" customFormat="1" ht="16" x14ac:dyDescent="0.2"/>
    <row r="38" s="1" customFormat="1" ht="16" x14ac:dyDescent="0.2"/>
    <row r="39" s="1" customFormat="1" ht="16" x14ac:dyDescent="0.2"/>
    <row r="40" s="1" customFormat="1" ht="16" x14ac:dyDescent="0.2"/>
    <row r="41" s="1" customFormat="1" ht="16" x14ac:dyDescent="0.2"/>
    <row r="42" s="1" customFormat="1" ht="16" x14ac:dyDescent="0.2"/>
    <row r="43" s="1" customFormat="1" ht="16" x14ac:dyDescent="0.2"/>
    <row r="44" s="1" customFormat="1" ht="16" x14ac:dyDescent="0.2"/>
    <row r="45" s="1" customFormat="1" ht="16" x14ac:dyDescent="0.2"/>
    <row r="46" s="1" customFormat="1" ht="16" x14ac:dyDescent="0.2"/>
    <row r="47" s="1" customFormat="1" ht="16" x14ac:dyDescent="0.2"/>
    <row r="48" s="1" customFormat="1" ht="16" x14ac:dyDescent="0.2"/>
    <row r="49" s="1" customFormat="1" ht="16" x14ac:dyDescent="0.2"/>
    <row r="50" s="1" customFormat="1" ht="16" x14ac:dyDescent="0.2"/>
    <row r="51" s="1" customFormat="1" ht="16" x14ac:dyDescent="0.2"/>
    <row r="52" s="1" customFormat="1" ht="16" x14ac:dyDescent="0.2"/>
    <row r="53" s="1" customFormat="1" ht="16" x14ac:dyDescent="0.2"/>
    <row r="54" s="1" customFormat="1" ht="16" x14ac:dyDescent="0.2"/>
    <row r="55" s="1" customFormat="1" ht="16" x14ac:dyDescent="0.2"/>
    <row r="56" s="1" customFormat="1" ht="16" x14ac:dyDescent="0.2"/>
    <row r="57" s="1" customFormat="1" ht="16" x14ac:dyDescent="0.2"/>
    <row r="58" s="1" customFormat="1" ht="16" x14ac:dyDescent="0.2"/>
    <row r="59" s="1" customFormat="1" ht="16" x14ac:dyDescent="0.2"/>
    <row r="60" s="1" customFormat="1" ht="16" x14ac:dyDescent="0.2"/>
    <row r="61" s="1" customFormat="1" ht="16" x14ac:dyDescent="0.2"/>
    <row r="62" s="1" customFormat="1" ht="16" x14ac:dyDescent="0.2"/>
    <row r="63" s="1" customFormat="1" ht="16" x14ac:dyDescent="0.2"/>
    <row r="64" s="1" customFormat="1" ht="16" x14ac:dyDescent="0.2"/>
    <row r="65" s="1" customFormat="1" ht="16" x14ac:dyDescent="0.2"/>
    <row r="66" s="1" customFormat="1" ht="16" x14ac:dyDescent="0.2"/>
    <row r="67" s="1" customFormat="1" ht="16" x14ac:dyDescent="0.2"/>
    <row r="68" s="1" customFormat="1" ht="16" x14ac:dyDescent="0.2"/>
    <row r="69" s="1" customFormat="1" ht="16" x14ac:dyDescent="0.2"/>
    <row r="70" s="1" customFormat="1" ht="16" x14ac:dyDescent="0.2"/>
    <row r="71" s="1" customFormat="1" ht="16" x14ac:dyDescent="0.2"/>
    <row r="72" s="1" customFormat="1" ht="16" x14ac:dyDescent="0.2"/>
    <row r="73" s="1" customFormat="1" ht="16" x14ac:dyDescent="0.2"/>
    <row r="74" s="1" customFormat="1" ht="16" x14ac:dyDescent="0.2"/>
    <row r="75" s="1" customFormat="1" ht="16" x14ac:dyDescent="0.2"/>
    <row r="76" s="1" customFormat="1" ht="16" x14ac:dyDescent="0.2"/>
    <row r="77" s="1" customFormat="1" ht="16" x14ac:dyDescent="0.2"/>
    <row r="78" s="1" customFormat="1" ht="16" x14ac:dyDescent="0.2"/>
    <row r="79" s="1" customFormat="1" ht="16" x14ac:dyDescent="0.2"/>
    <row r="80" s="1" customFormat="1" ht="16" x14ac:dyDescent="0.2"/>
    <row r="81" s="1" customFormat="1" ht="16" x14ac:dyDescent="0.2"/>
    <row r="82" s="1" customFormat="1" ht="16" x14ac:dyDescent="0.2"/>
    <row r="83" s="1" customFormat="1" ht="16" x14ac:dyDescent="0.2"/>
    <row r="84" s="1" customFormat="1" ht="16" x14ac:dyDescent="0.2"/>
    <row r="85" s="1" customFormat="1" ht="16" x14ac:dyDescent="0.2"/>
    <row r="86" s="1" customFormat="1" ht="16" x14ac:dyDescent="0.2"/>
    <row r="87" s="1" customFormat="1" ht="16" x14ac:dyDescent="0.2"/>
    <row r="88" s="1" customFormat="1" ht="16" x14ac:dyDescent="0.2"/>
    <row r="89" s="1" customFormat="1" ht="16" x14ac:dyDescent="0.2"/>
    <row r="90" s="1" customFormat="1" ht="16" x14ac:dyDescent="0.2"/>
    <row r="91" s="1" customFormat="1" ht="16" x14ac:dyDescent="0.2"/>
    <row r="92" s="1" customFormat="1" ht="16" x14ac:dyDescent="0.2"/>
    <row r="93" s="1" customFormat="1" ht="16" x14ac:dyDescent="0.2"/>
    <row r="94" s="1" customFormat="1" ht="16" x14ac:dyDescent="0.2"/>
    <row r="95" s="1" customFormat="1" ht="16" x14ac:dyDescent="0.2"/>
    <row r="96" s="1" customFormat="1" ht="16" x14ac:dyDescent="0.2"/>
    <row r="97" s="1" customFormat="1" ht="16" x14ac:dyDescent="0.2"/>
    <row r="98" s="1" customFormat="1" ht="16" x14ac:dyDescent="0.2"/>
    <row r="99" s="1" customFormat="1" ht="16" x14ac:dyDescent="0.2"/>
    <row r="100" s="1" customFormat="1" ht="16" x14ac:dyDescent="0.2"/>
    <row r="101" s="1" customFormat="1" ht="16" x14ac:dyDescent="0.2"/>
    <row r="102" s="1" customFormat="1" ht="16" x14ac:dyDescent="0.2"/>
    <row r="103" s="1" customFormat="1" ht="16" x14ac:dyDescent="0.2"/>
    <row r="104" s="1" customFormat="1" ht="16" x14ac:dyDescent="0.2"/>
    <row r="105" s="1" customFormat="1" ht="16" x14ac:dyDescent="0.2"/>
    <row r="106" s="1" customFormat="1" ht="16" x14ac:dyDescent="0.2"/>
    <row r="107" s="1" customFormat="1" ht="16" x14ac:dyDescent="0.2"/>
    <row r="108" s="1" customFormat="1" ht="16" x14ac:dyDescent="0.2"/>
    <row r="109" s="1" customFormat="1" ht="16" x14ac:dyDescent="0.2"/>
    <row r="110" s="1" customFormat="1" ht="16" x14ac:dyDescent="0.2"/>
    <row r="111" s="1" customFormat="1" ht="16" x14ac:dyDescent="0.2"/>
    <row r="112" s="1" customFormat="1" ht="16" x14ac:dyDescent="0.2"/>
    <row r="113" s="1" customFormat="1" ht="16" x14ac:dyDescent="0.2"/>
    <row r="114" s="1" customFormat="1" ht="16" x14ac:dyDescent="0.2"/>
    <row r="115" s="1" customFormat="1" ht="16" x14ac:dyDescent="0.2"/>
    <row r="116" s="1" customFormat="1" ht="16" x14ac:dyDescent="0.2"/>
    <row r="117" s="1" customFormat="1" ht="16" x14ac:dyDescent="0.2"/>
    <row r="118" s="1" customFormat="1" ht="16" x14ac:dyDescent="0.2"/>
    <row r="119" s="1" customFormat="1" ht="16" x14ac:dyDescent="0.2"/>
    <row r="120" s="1" customFormat="1" ht="16" x14ac:dyDescent="0.2"/>
    <row r="121" s="1" customFormat="1" ht="16" x14ac:dyDescent="0.2"/>
    <row r="122" s="1" customFormat="1" ht="16" x14ac:dyDescent="0.2"/>
    <row r="123" s="1" customFormat="1" ht="16" x14ac:dyDescent="0.2"/>
    <row r="124" s="1" customFormat="1" ht="16" x14ac:dyDescent="0.2"/>
    <row r="125" s="1" customFormat="1" ht="16" x14ac:dyDescent="0.2"/>
    <row r="126" s="1" customFormat="1" ht="16" x14ac:dyDescent="0.2"/>
    <row r="127" s="1" customFormat="1" ht="16" x14ac:dyDescent="0.2"/>
    <row r="128" s="1" customFormat="1" ht="16" x14ac:dyDescent="0.2"/>
    <row r="129" s="1" customFormat="1" ht="16" x14ac:dyDescent="0.2"/>
    <row r="130" s="1" customFormat="1" ht="16" x14ac:dyDescent="0.2"/>
    <row r="131" s="1" customFormat="1" ht="16" x14ac:dyDescent="0.2"/>
    <row r="132" s="1" customFormat="1" ht="16" x14ac:dyDescent="0.2"/>
    <row r="133" s="1" customFormat="1" ht="16" x14ac:dyDescent="0.2"/>
    <row r="134" s="1" customFormat="1" ht="16" x14ac:dyDescent="0.2"/>
    <row r="135" s="1" customFormat="1" ht="16" x14ac:dyDescent="0.2"/>
    <row r="136" s="1" customFormat="1" ht="16" x14ac:dyDescent="0.2"/>
    <row r="137" s="1" customFormat="1" ht="16" x14ac:dyDescent="0.2"/>
    <row r="138" s="1" customFormat="1" ht="16" x14ac:dyDescent="0.2"/>
    <row r="139" s="1" customFormat="1" ht="16" x14ac:dyDescent="0.2"/>
    <row r="140" s="1" customFormat="1" ht="16" x14ac:dyDescent="0.2"/>
    <row r="141" s="1" customFormat="1" ht="16" x14ac:dyDescent="0.2"/>
    <row r="142" s="1" customFormat="1" ht="16" x14ac:dyDescent="0.2"/>
    <row r="143" s="1" customFormat="1" ht="16" x14ac:dyDescent="0.2"/>
    <row r="144" s="1" customFormat="1" ht="16" x14ac:dyDescent="0.2"/>
    <row r="145" s="1" customFormat="1" ht="16" x14ac:dyDescent="0.2"/>
    <row r="146" s="1" customFormat="1" ht="16" x14ac:dyDescent="0.2"/>
    <row r="147" s="1" customFormat="1" ht="16" x14ac:dyDescent="0.2"/>
    <row r="148" s="1" customFormat="1" ht="16" x14ac:dyDescent="0.2"/>
    <row r="149" s="1" customFormat="1" ht="16" x14ac:dyDescent="0.2"/>
    <row r="150" s="1" customFormat="1" ht="16" x14ac:dyDescent="0.2"/>
    <row r="151" s="1" customFormat="1" ht="16" x14ac:dyDescent="0.2"/>
    <row r="152" s="1" customFormat="1" ht="16" x14ac:dyDescent="0.2"/>
    <row r="153" s="1" customFormat="1" ht="16" x14ac:dyDescent="0.2"/>
    <row r="154" s="1" customFormat="1" ht="16" x14ac:dyDescent="0.2"/>
    <row r="155" s="1" customFormat="1" ht="16" x14ac:dyDescent="0.2"/>
    <row r="156" s="1" customFormat="1" ht="16" x14ac:dyDescent="0.2"/>
    <row r="157" s="1" customFormat="1" ht="16" x14ac:dyDescent="0.2"/>
    <row r="158" s="1" customFormat="1" ht="16" x14ac:dyDescent="0.2"/>
    <row r="159" s="1" customFormat="1" ht="16" x14ac:dyDescent="0.2"/>
    <row r="160" s="1" customFormat="1" ht="16" x14ac:dyDescent="0.2"/>
    <row r="161" s="1" customFormat="1" ht="16" x14ac:dyDescent="0.2"/>
    <row r="162" s="1" customFormat="1" ht="16" x14ac:dyDescent="0.2"/>
    <row r="163" s="1" customFormat="1" ht="16" x14ac:dyDescent="0.2"/>
    <row r="164" s="1" customFormat="1" ht="16" x14ac:dyDescent="0.2"/>
    <row r="165" s="1" customFormat="1" ht="16" x14ac:dyDescent="0.2"/>
    <row r="166" s="1" customFormat="1" ht="16" x14ac:dyDescent="0.2"/>
    <row r="167" s="1" customFormat="1" ht="16" x14ac:dyDescent="0.2"/>
    <row r="168" s="1" customFormat="1" ht="16" x14ac:dyDescent="0.2"/>
    <row r="169" s="1" customFormat="1" ht="16" x14ac:dyDescent="0.2"/>
    <row r="170" s="1" customFormat="1" ht="16" x14ac:dyDescent="0.2"/>
    <row r="171" s="1" customFormat="1" ht="16" x14ac:dyDescent="0.2"/>
    <row r="172" s="1" customFormat="1" ht="16" x14ac:dyDescent="0.2"/>
    <row r="173" s="1" customFormat="1" ht="16" x14ac:dyDescent="0.2"/>
    <row r="174" s="1" customFormat="1" ht="16" x14ac:dyDescent="0.2"/>
    <row r="175" s="1" customFormat="1" ht="16" x14ac:dyDescent="0.2"/>
    <row r="176" s="1" customFormat="1" ht="16" x14ac:dyDescent="0.2"/>
    <row r="177" s="1" customFormat="1" ht="16" x14ac:dyDescent="0.2"/>
    <row r="178" s="1" customFormat="1" ht="16" x14ac:dyDescent="0.2"/>
    <row r="179" s="1" customFormat="1" ht="16" x14ac:dyDescent="0.2"/>
    <row r="180" s="1" customFormat="1" ht="16" x14ac:dyDescent="0.2"/>
    <row r="181" s="1" customFormat="1" ht="16" x14ac:dyDescent="0.2"/>
    <row r="182" s="1" customFormat="1" ht="16" x14ac:dyDescent="0.2"/>
    <row r="183" s="1" customFormat="1" ht="16" x14ac:dyDescent="0.2"/>
    <row r="184" s="1" customFormat="1" ht="16" x14ac:dyDescent="0.2"/>
    <row r="185" s="1" customFormat="1" ht="16" x14ac:dyDescent="0.2"/>
    <row r="186" s="1" customFormat="1" ht="16" x14ac:dyDescent="0.2"/>
    <row r="187" s="1" customFormat="1" ht="16" x14ac:dyDescent="0.2"/>
    <row r="188" s="1" customFormat="1" ht="16" x14ac:dyDescent="0.2"/>
    <row r="189" s="1" customFormat="1" ht="16" x14ac:dyDescent="0.2"/>
    <row r="190" s="1" customFormat="1" ht="16" x14ac:dyDescent="0.2"/>
    <row r="191" s="1" customFormat="1" ht="16" x14ac:dyDescent="0.2"/>
    <row r="192" s="1" customFormat="1" ht="16" x14ac:dyDescent="0.2"/>
    <row r="193" s="1" customFormat="1" ht="16" x14ac:dyDescent="0.2"/>
    <row r="194" s="1" customFormat="1" ht="16" x14ac:dyDescent="0.2"/>
    <row r="195" s="1" customFormat="1" ht="16" x14ac:dyDescent="0.2"/>
    <row r="196" s="1" customFormat="1" ht="16" x14ac:dyDescent="0.2"/>
    <row r="197" s="1" customFormat="1" ht="16" x14ac:dyDescent="0.2"/>
    <row r="198" s="1" customFormat="1" ht="16" x14ac:dyDescent="0.2"/>
    <row r="199" s="1" customFormat="1" ht="16" x14ac:dyDescent="0.2"/>
    <row r="200" s="1" customFormat="1" ht="16" x14ac:dyDescent="0.2"/>
    <row r="201" s="1" customFormat="1" ht="16" x14ac:dyDescent="0.2"/>
    <row r="202" s="1" customFormat="1" ht="16" x14ac:dyDescent="0.2"/>
    <row r="203" s="1" customFormat="1" ht="16" x14ac:dyDescent="0.2"/>
    <row r="204" s="1" customFormat="1" ht="16" x14ac:dyDescent="0.2"/>
    <row r="205" s="1" customFormat="1" ht="16" x14ac:dyDescent="0.2"/>
    <row r="206" s="1" customFormat="1" ht="16" x14ac:dyDescent="0.2"/>
    <row r="207" s="1" customFormat="1" ht="16" x14ac:dyDescent="0.2"/>
    <row r="208" s="1" customFormat="1" ht="16" x14ac:dyDescent="0.2"/>
    <row r="209" s="1" customFormat="1" ht="16" x14ac:dyDescent="0.2"/>
    <row r="210" s="1" customFormat="1" ht="16" x14ac:dyDescent="0.2"/>
    <row r="211" s="1" customFormat="1" ht="16" x14ac:dyDescent="0.2"/>
    <row r="212" s="1" customFormat="1" ht="16" x14ac:dyDescent="0.2"/>
    <row r="213" s="1" customFormat="1" ht="16" x14ac:dyDescent="0.2"/>
    <row r="214" s="1" customFormat="1" ht="16" x14ac:dyDescent="0.2"/>
    <row r="215" s="1" customFormat="1" ht="16" x14ac:dyDescent="0.2"/>
    <row r="216" s="1" customFormat="1" ht="16" x14ac:dyDescent="0.2"/>
    <row r="217" s="1" customFormat="1" ht="16" x14ac:dyDescent="0.2"/>
    <row r="218" s="1" customFormat="1" ht="16" x14ac:dyDescent="0.2"/>
    <row r="219" s="1" customFormat="1" ht="16" x14ac:dyDescent="0.2"/>
    <row r="220" s="1" customFormat="1" ht="16" x14ac:dyDescent="0.2"/>
    <row r="221" s="1" customFormat="1" ht="16" x14ac:dyDescent="0.2"/>
    <row r="222" s="1" customFormat="1" ht="16" x14ac:dyDescent="0.2"/>
    <row r="223" s="1" customFormat="1" ht="16" x14ac:dyDescent="0.2"/>
    <row r="224" s="1" customFormat="1" ht="16" x14ac:dyDescent="0.2"/>
    <row r="225" s="1" customFormat="1" ht="16" x14ac:dyDescent="0.2"/>
    <row r="226" s="1" customFormat="1" ht="16" x14ac:dyDescent="0.2"/>
    <row r="227" s="1" customFormat="1" ht="16" x14ac:dyDescent="0.2"/>
    <row r="228" s="1" customFormat="1" ht="16" x14ac:dyDescent="0.2"/>
    <row r="229" s="1" customFormat="1" ht="16" x14ac:dyDescent="0.2"/>
    <row r="230" s="1" customFormat="1" ht="16" x14ac:dyDescent="0.2"/>
    <row r="231" s="1" customFormat="1" ht="16" x14ac:dyDescent="0.2"/>
    <row r="232" s="1" customFormat="1" ht="16" x14ac:dyDescent="0.2"/>
    <row r="233" s="1" customFormat="1" ht="16" x14ac:dyDescent="0.2"/>
    <row r="234" s="1" customFormat="1" ht="16" x14ac:dyDescent="0.2"/>
    <row r="235" s="1" customFormat="1" ht="16" x14ac:dyDescent="0.2"/>
    <row r="236" s="1" customFormat="1" ht="16" x14ac:dyDescent="0.2"/>
    <row r="237" s="1" customFormat="1" ht="16" x14ac:dyDescent="0.2"/>
    <row r="238" s="1" customFormat="1" ht="16" x14ac:dyDescent="0.2"/>
    <row r="239" s="1" customFormat="1" ht="16" x14ac:dyDescent="0.2"/>
    <row r="240" s="1" customFormat="1" ht="16" x14ac:dyDescent="0.2"/>
    <row r="241" s="1" customFormat="1" ht="16" x14ac:dyDescent="0.2"/>
    <row r="242" s="1" customFormat="1" ht="16" x14ac:dyDescent="0.2"/>
    <row r="243" s="1" customFormat="1" ht="16" x14ac:dyDescent="0.2"/>
    <row r="244" s="1" customFormat="1" ht="16" x14ac:dyDescent="0.2"/>
    <row r="245" s="1" customFormat="1" ht="16" x14ac:dyDescent="0.2"/>
    <row r="246" s="1" customFormat="1" ht="16" x14ac:dyDescent="0.2"/>
    <row r="247" s="1" customFormat="1" ht="16" x14ac:dyDescent="0.2"/>
    <row r="248" s="1" customFormat="1" ht="16" x14ac:dyDescent="0.2"/>
    <row r="249" s="1" customFormat="1" ht="16" x14ac:dyDescent="0.2"/>
    <row r="250" s="1" customFormat="1" ht="16" x14ac:dyDescent="0.2"/>
    <row r="251" s="1" customFormat="1" ht="16" x14ac:dyDescent="0.2"/>
    <row r="252" s="1" customFormat="1" ht="16" x14ac:dyDescent="0.2"/>
    <row r="253" s="1" customFormat="1" ht="16" x14ac:dyDescent="0.2"/>
    <row r="254" s="1" customFormat="1" ht="16" x14ac:dyDescent="0.2"/>
    <row r="255" s="1" customFormat="1" ht="16" x14ac:dyDescent="0.2"/>
    <row r="256" s="1" customFormat="1" ht="16" x14ac:dyDescent="0.2"/>
    <row r="257" s="1" customFormat="1" ht="16" x14ac:dyDescent="0.2"/>
    <row r="258" s="1" customFormat="1" ht="16" x14ac:dyDescent="0.2"/>
    <row r="259" s="1" customFormat="1" ht="16" x14ac:dyDescent="0.2"/>
    <row r="260" s="1" customFormat="1" ht="16" x14ac:dyDescent="0.2"/>
    <row r="261" s="1" customFormat="1" ht="16" x14ac:dyDescent="0.2"/>
    <row r="262" s="1" customFormat="1" ht="16" x14ac:dyDescent="0.2"/>
    <row r="263" s="1" customFormat="1" ht="16" x14ac:dyDescent="0.2"/>
    <row r="264" s="1" customFormat="1" ht="16" x14ac:dyDescent="0.2"/>
    <row r="265" s="1" customFormat="1" ht="16" x14ac:dyDescent="0.2"/>
    <row r="266" s="1" customFormat="1" ht="16" x14ac:dyDescent="0.2"/>
    <row r="267" s="1" customFormat="1" ht="16" x14ac:dyDescent="0.2"/>
    <row r="268" s="1" customFormat="1" ht="16" x14ac:dyDescent="0.2"/>
    <row r="269" s="1" customFormat="1" ht="16" x14ac:dyDescent="0.2"/>
    <row r="270" s="1" customFormat="1" ht="16" x14ac:dyDescent="0.2"/>
    <row r="271" s="1" customFormat="1" ht="16" x14ac:dyDescent="0.2"/>
    <row r="272" s="1" customFormat="1" ht="16" x14ac:dyDescent="0.2"/>
    <row r="273" s="1" customFormat="1" ht="16" x14ac:dyDescent="0.2"/>
    <row r="274" s="1" customFormat="1" ht="16" x14ac:dyDescent="0.2"/>
    <row r="275" s="1" customFormat="1" ht="16" x14ac:dyDescent="0.2"/>
    <row r="276" s="1" customFormat="1" ht="16" x14ac:dyDescent="0.2"/>
    <row r="277" s="1" customFormat="1" ht="16" x14ac:dyDescent="0.2"/>
    <row r="278" s="1" customFormat="1" ht="16" x14ac:dyDescent="0.2"/>
    <row r="279" s="1" customFormat="1" ht="16" x14ac:dyDescent="0.2"/>
    <row r="280" s="1" customFormat="1" ht="16" x14ac:dyDescent="0.2"/>
    <row r="281" s="1" customFormat="1" ht="16" x14ac:dyDescent="0.2"/>
    <row r="282" s="1" customFormat="1" ht="16" x14ac:dyDescent="0.2"/>
    <row r="283" s="1" customFormat="1" ht="16" x14ac:dyDescent="0.2"/>
    <row r="284" s="1" customFormat="1" ht="16" x14ac:dyDescent="0.2"/>
    <row r="285" s="1" customFormat="1" ht="16" x14ac:dyDescent="0.2"/>
    <row r="286" s="1" customFormat="1" ht="16" x14ac:dyDescent="0.2"/>
    <row r="287" s="1" customFormat="1" ht="16" x14ac:dyDescent="0.2"/>
    <row r="288" s="1" customFormat="1" ht="16" x14ac:dyDescent="0.2"/>
    <row r="289" s="1" customFormat="1" ht="16" x14ac:dyDescent="0.2"/>
    <row r="290" s="1" customFormat="1" ht="16" x14ac:dyDescent="0.2"/>
    <row r="291" s="1" customFormat="1" ht="16" x14ac:dyDescent="0.2"/>
    <row r="292" s="1" customFormat="1" ht="16" x14ac:dyDescent="0.2"/>
    <row r="293" s="1" customFormat="1" ht="16" x14ac:dyDescent="0.2"/>
    <row r="294" s="1" customFormat="1" ht="16" x14ac:dyDescent="0.2"/>
    <row r="295" s="1" customFormat="1" ht="16" x14ac:dyDescent="0.2"/>
    <row r="296" s="1" customFormat="1" ht="16" x14ac:dyDescent="0.2"/>
    <row r="297" s="1" customFormat="1" ht="16" x14ac:dyDescent="0.2"/>
    <row r="298" s="1" customFormat="1" ht="16" x14ac:dyDescent="0.2"/>
    <row r="299" s="1" customFormat="1" ht="16" x14ac:dyDescent="0.2"/>
    <row r="300" s="1" customFormat="1" ht="16" x14ac:dyDescent="0.2"/>
    <row r="301" s="1" customFormat="1" ht="16" x14ac:dyDescent="0.2"/>
    <row r="302" s="1" customFormat="1" ht="16" x14ac:dyDescent="0.2"/>
    <row r="303" s="1" customFormat="1" ht="16" x14ac:dyDescent="0.2"/>
    <row r="304" s="1" customFormat="1" ht="16" x14ac:dyDescent="0.2"/>
    <row r="305" s="1" customFormat="1" ht="16" x14ac:dyDescent="0.2"/>
    <row r="306" s="1" customFormat="1" ht="16" x14ac:dyDescent="0.2"/>
    <row r="307" s="1" customFormat="1" ht="16" x14ac:dyDescent="0.2"/>
    <row r="308" s="1" customFormat="1" ht="16" x14ac:dyDescent="0.2"/>
    <row r="309" s="1" customFormat="1" ht="16" x14ac:dyDescent="0.2"/>
    <row r="310" s="1" customFormat="1" ht="16" x14ac:dyDescent="0.2"/>
    <row r="311" s="1" customFormat="1" ht="16" x14ac:dyDescent="0.2"/>
    <row r="312" s="1" customFormat="1" ht="16" x14ac:dyDescent="0.2"/>
    <row r="313" s="1" customFormat="1" ht="16" x14ac:dyDescent="0.2"/>
    <row r="314" s="1" customFormat="1" ht="16" x14ac:dyDescent="0.2"/>
    <row r="315" s="1" customFormat="1" ht="16" x14ac:dyDescent="0.2"/>
    <row r="316" s="1" customFormat="1" ht="16" x14ac:dyDescent="0.2"/>
    <row r="317" s="1" customFormat="1" ht="16" x14ac:dyDescent="0.2"/>
    <row r="318" s="1" customFormat="1" ht="16" x14ac:dyDescent="0.2"/>
    <row r="319" s="1" customFormat="1" ht="16" x14ac:dyDescent="0.2"/>
    <row r="320" s="1" customFormat="1" ht="16" x14ac:dyDescent="0.2"/>
    <row r="321" s="1" customFormat="1" ht="16" x14ac:dyDescent="0.2"/>
    <row r="322" s="1" customFormat="1" ht="16" x14ac:dyDescent="0.2"/>
    <row r="323" s="1" customFormat="1" ht="16" x14ac:dyDescent="0.2"/>
    <row r="324" s="1" customFormat="1" ht="16" x14ac:dyDescent="0.2"/>
    <row r="325" s="1" customFormat="1" ht="16" x14ac:dyDescent="0.2"/>
    <row r="326" s="1" customFormat="1" ht="16" x14ac:dyDescent="0.2"/>
    <row r="327" s="1" customFormat="1" ht="16" x14ac:dyDescent="0.2"/>
    <row r="328" s="1" customFormat="1" ht="16" x14ac:dyDescent="0.2"/>
    <row r="329" s="1" customFormat="1" ht="16" x14ac:dyDescent="0.2"/>
    <row r="330" s="1" customFormat="1" ht="16" x14ac:dyDescent="0.2"/>
    <row r="331" s="1" customFormat="1" ht="16" x14ac:dyDescent="0.2"/>
    <row r="332" s="1" customFormat="1" ht="16" x14ac:dyDescent="0.2"/>
    <row r="333" s="1" customFormat="1" ht="16" x14ac:dyDescent="0.2"/>
    <row r="334" s="1" customFormat="1" ht="16" x14ac:dyDescent="0.2"/>
    <row r="335" s="1" customFormat="1" ht="16" x14ac:dyDescent="0.2"/>
    <row r="336" s="1" customFormat="1" ht="16" x14ac:dyDescent="0.2"/>
    <row r="337" s="1" customFormat="1" ht="16" x14ac:dyDescent="0.2"/>
    <row r="338" s="1" customFormat="1" ht="16" x14ac:dyDescent="0.2"/>
    <row r="339" s="1" customFormat="1" ht="16" x14ac:dyDescent="0.2"/>
    <row r="340" s="1" customFormat="1" ht="16" x14ac:dyDescent="0.2"/>
    <row r="341" s="1" customFormat="1" ht="16" x14ac:dyDescent="0.2"/>
    <row r="342" s="1" customFormat="1" ht="16" x14ac:dyDescent="0.2"/>
    <row r="343" s="1" customFormat="1" ht="16" x14ac:dyDescent="0.2"/>
    <row r="344" s="1" customFormat="1" ht="16" x14ac:dyDescent="0.2"/>
    <row r="345" s="1" customFormat="1" ht="16" x14ac:dyDescent="0.2"/>
    <row r="346" s="1" customFormat="1" ht="16" x14ac:dyDescent="0.2"/>
    <row r="347" s="1" customFormat="1" ht="16" x14ac:dyDescent="0.2"/>
    <row r="348" s="1" customFormat="1" ht="16" x14ac:dyDescent="0.2"/>
    <row r="349" s="1" customFormat="1" ht="16" x14ac:dyDescent="0.2"/>
    <row r="350" s="1" customFormat="1" ht="16" x14ac:dyDescent="0.2"/>
    <row r="351" s="1" customFormat="1" ht="16" x14ac:dyDescent="0.2"/>
    <row r="352" s="1" customFormat="1" ht="16" x14ac:dyDescent="0.2"/>
    <row r="353" s="1" customFormat="1" ht="16" x14ac:dyDescent="0.2"/>
    <row r="354" s="1" customFormat="1" ht="16" x14ac:dyDescent="0.2"/>
    <row r="355" s="1" customFormat="1" ht="16" x14ac:dyDescent="0.2"/>
    <row r="356" s="1" customFormat="1" ht="16" x14ac:dyDescent="0.2"/>
    <row r="357" s="1" customFormat="1" ht="16" x14ac:dyDescent="0.2"/>
    <row r="358" s="1" customFormat="1" ht="16" x14ac:dyDescent="0.2"/>
    <row r="359" s="1" customFormat="1" ht="16" x14ac:dyDescent="0.2"/>
    <row r="360" s="1" customFormat="1" ht="16" x14ac:dyDescent="0.2"/>
    <row r="361" s="1" customFormat="1" ht="16" x14ac:dyDescent="0.2"/>
    <row r="362" s="1" customFormat="1" ht="16" x14ac:dyDescent="0.2"/>
    <row r="363" s="1" customFormat="1" ht="16" x14ac:dyDescent="0.2"/>
    <row r="364" s="1" customFormat="1" ht="16" x14ac:dyDescent="0.2"/>
    <row r="365" s="1" customFormat="1" ht="16" x14ac:dyDescent="0.2"/>
    <row r="366" s="1" customFormat="1" ht="16" x14ac:dyDescent="0.2"/>
    <row r="367" s="1" customFormat="1" ht="16" x14ac:dyDescent="0.2"/>
    <row r="368" s="1" customFormat="1" ht="16" x14ac:dyDescent="0.2"/>
    <row r="369" s="1" customFormat="1" ht="16" x14ac:dyDescent="0.2"/>
    <row r="370" s="1" customFormat="1" ht="16" x14ac:dyDescent="0.2"/>
    <row r="371" s="1" customFormat="1" ht="16" x14ac:dyDescent="0.2"/>
    <row r="372" s="1" customFormat="1" ht="16" x14ac:dyDescent="0.2"/>
    <row r="373" s="1" customFormat="1" ht="16" x14ac:dyDescent="0.2"/>
    <row r="374" s="1" customFormat="1" ht="16" x14ac:dyDescent="0.2"/>
    <row r="375" s="1" customFormat="1" ht="16" x14ac:dyDescent="0.2"/>
    <row r="376" s="1" customFormat="1" ht="16" x14ac:dyDescent="0.2"/>
    <row r="377" s="1" customFormat="1" ht="16" x14ac:dyDescent="0.2"/>
    <row r="378" s="1" customFormat="1" ht="16" x14ac:dyDescent="0.2"/>
    <row r="379" s="1" customFormat="1" ht="16" x14ac:dyDescent="0.2"/>
    <row r="380" s="1" customFormat="1" ht="16" x14ac:dyDescent="0.2"/>
    <row r="381" s="1" customFormat="1" ht="16" x14ac:dyDescent="0.2"/>
    <row r="382" s="1" customFormat="1" ht="16" x14ac:dyDescent="0.2"/>
    <row r="383" s="1" customFormat="1" ht="16" x14ac:dyDescent="0.2"/>
    <row r="384" s="1" customFormat="1" ht="16" x14ac:dyDescent="0.2"/>
    <row r="385" s="1" customFormat="1" ht="16" x14ac:dyDescent="0.2"/>
    <row r="386" s="1" customFormat="1" ht="16" x14ac:dyDescent="0.2"/>
    <row r="387" s="1" customFormat="1" ht="16" x14ac:dyDescent="0.2"/>
    <row r="388" s="1" customFormat="1" ht="16" x14ac:dyDescent="0.2"/>
    <row r="389" s="1" customFormat="1" ht="16" x14ac:dyDescent="0.2"/>
    <row r="390" s="1" customFormat="1" ht="16" x14ac:dyDescent="0.2"/>
    <row r="391" s="1" customFormat="1" ht="16" x14ac:dyDescent="0.2"/>
    <row r="392" s="1" customFormat="1" ht="16" x14ac:dyDescent="0.2"/>
    <row r="393" s="1" customFormat="1" ht="16" x14ac:dyDescent="0.2"/>
    <row r="394" s="1" customFormat="1" ht="16" x14ac:dyDescent="0.2"/>
    <row r="395" s="1" customFormat="1" ht="16" x14ac:dyDescent="0.2"/>
    <row r="396" s="1" customFormat="1" ht="16" x14ac:dyDescent="0.2"/>
    <row r="397" s="1" customFormat="1" ht="16" x14ac:dyDescent="0.2"/>
    <row r="398" s="1" customFormat="1" ht="16" x14ac:dyDescent="0.2"/>
    <row r="399" s="1" customFormat="1" ht="16" x14ac:dyDescent="0.2"/>
    <row r="400" s="1" customFormat="1" ht="16" x14ac:dyDescent="0.2"/>
    <row r="401" s="1" customFormat="1" ht="16" x14ac:dyDescent="0.2"/>
  </sheetData>
  <conditionalFormatting sqref="B2:Z2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3">
      <colorScale>
        <cfvo type="min"/>
        <cfvo type="max"/>
        <color theme="0"/>
        <color rgb="FFFF0000"/>
      </colorScale>
    </cfRule>
  </conditionalFormatting>
  <conditionalFormatting sqref="T12">
    <cfRule type="colorScale" priority="2">
      <colorScale>
        <cfvo type="min"/>
        <cfvo type="max"/>
        <color theme="5" tint="0.79998168889431442"/>
        <color rgb="FFFF0000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6"/>
  <sheetViews>
    <sheetView workbookViewId="0">
      <selection activeCell="Q28" sqref="Q28"/>
    </sheetView>
  </sheetViews>
  <sheetFormatPr baseColWidth="10" defaultRowHeight="16" x14ac:dyDescent="0.2"/>
  <cols>
    <col min="1" max="1" width="12.5" customWidth="1"/>
    <col min="2" max="26" width="7.1640625" customWidth="1"/>
  </cols>
  <sheetData>
    <row r="1" spans="1:26" s="4" customFormat="1" ht="43" customHeight="1" x14ac:dyDescent="0.2">
      <c r="A1" s="5" t="s">
        <v>3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  <c r="V1" s="3">
        <v>21</v>
      </c>
      <c r="W1" s="3">
        <v>22</v>
      </c>
      <c r="X1" s="3">
        <v>23</v>
      </c>
      <c r="Y1" s="3">
        <v>24</v>
      </c>
      <c r="Z1" s="3">
        <v>25</v>
      </c>
    </row>
    <row r="2" spans="1:26" s="1" customFormat="1" ht="43" customHeight="1" x14ac:dyDescent="0.2">
      <c r="A2" s="3" t="s">
        <v>1</v>
      </c>
      <c r="B2" s="2">
        <v>41</v>
      </c>
      <c r="C2" s="2">
        <v>503</v>
      </c>
      <c r="D2" s="2">
        <v>223977</v>
      </c>
      <c r="E2" s="2">
        <v>29805</v>
      </c>
      <c r="F2" s="2">
        <v>583</v>
      </c>
      <c r="G2" s="2">
        <v>10</v>
      </c>
      <c r="H2" s="2">
        <v>11</v>
      </c>
      <c r="I2" s="2">
        <v>10</v>
      </c>
      <c r="J2" s="2">
        <v>0</v>
      </c>
      <c r="K2" s="2">
        <v>4</v>
      </c>
      <c r="L2" s="2">
        <v>7</v>
      </c>
      <c r="M2" s="2">
        <v>14</v>
      </c>
      <c r="N2" s="2">
        <v>1</v>
      </c>
      <c r="O2" s="2">
        <v>3</v>
      </c>
      <c r="P2" s="2">
        <v>4</v>
      </c>
      <c r="Q2" s="2">
        <v>3</v>
      </c>
      <c r="R2" s="2">
        <v>5</v>
      </c>
      <c r="S2" s="2">
        <v>2</v>
      </c>
      <c r="T2" s="2">
        <v>11</v>
      </c>
      <c r="U2" s="2">
        <v>3</v>
      </c>
      <c r="V2" s="2">
        <v>1</v>
      </c>
      <c r="W2" s="2">
        <v>1</v>
      </c>
      <c r="X2" s="2">
        <v>13</v>
      </c>
      <c r="Y2" s="2">
        <v>2</v>
      </c>
      <c r="Z2" s="2">
        <v>3</v>
      </c>
    </row>
    <row r="5" spans="1:26" s="4" customFormat="1" ht="43" customHeight="1" x14ac:dyDescent="0.2">
      <c r="A5" s="5" t="s">
        <v>3</v>
      </c>
      <c r="B5" s="3">
        <v>1</v>
      </c>
      <c r="C5" s="3">
        <v>2</v>
      </c>
      <c r="D5" s="3">
        <v>3</v>
      </c>
      <c r="E5" s="3">
        <v>4</v>
      </c>
      <c r="F5" s="3">
        <v>5</v>
      </c>
      <c r="G5" s="3">
        <v>6</v>
      </c>
      <c r="H5" s="3">
        <v>7</v>
      </c>
      <c r="I5" s="3">
        <v>8</v>
      </c>
      <c r="J5" s="3">
        <v>9</v>
      </c>
      <c r="K5" s="3">
        <v>10</v>
      </c>
      <c r="L5" s="3">
        <v>11</v>
      </c>
      <c r="M5" s="3">
        <v>12</v>
      </c>
      <c r="N5" s="3">
        <v>13</v>
      </c>
      <c r="O5" s="3">
        <v>14</v>
      </c>
      <c r="P5" s="3">
        <v>15</v>
      </c>
      <c r="Q5" s="3">
        <v>16</v>
      </c>
      <c r="R5" s="3">
        <v>17</v>
      </c>
      <c r="S5" s="3">
        <v>18</v>
      </c>
      <c r="T5" s="3">
        <v>19</v>
      </c>
      <c r="U5" s="3">
        <v>20</v>
      </c>
      <c r="V5" s="3">
        <v>21</v>
      </c>
      <c r="W5" s="3">
        <v>22</v>
      </c>
      <c r="X5" s="3">
        <v>23</v>
      </c>
      <c r="Y5" s="3">
        <v>24</v>
      </c>
      <c r="Z5" s="3">
        <v>25</v>
      </c>
    </row>
    <row r="6" spans="1:26" s="1" customFormat="1" ht="43" customHeight="1" x14ac:dyDescent="0.2">
      <c r="A6" s="3" t="s">
        <v>2</v>
      </c>
      <c r="B6" s="2">
        <v>2.0000000000000001E-4</v>
      </c>
      <c r="C6" s="2">
        <v>2E-3</v>
      </c>
      <c r="D6" s="2">
        <v>0.87829999999999997</v>
      </c>
      <c r="E6" s="2">
        <v>0.1169</v>
      </c>
      <c r="F6" s="2">
        <v>2.3E-3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1E-4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1E-4</v>
      </c>
      <c r="Y6" s="2">
        <v>0</v>
      </c>
      <c r="Z6" s="2">
        <v>0</v>
      </c>
    </row>
  </sheetData>
  <conditionalFormatting sqref="B2:Z2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4">
      <colorScale>
        <cfvo type="min"/>
        <cfvo type="max"/>
        <color theme="0"/>
        <color rgb="FFFF0000"/>
      </colorScale>
    </cfRule>
  </conditionalFormatting>
  <conditionalFormatting sqref="B6:Z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2">
      <colorScale>
        <cfvo type="min"/>
        <cfvo type="max"/>
        <color theme="0"/>
        <color rgb="FFFF0000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26"/>
  <sheetViews>
    <sheetView workbookViewId="0">
      <selection sqref="A1:XFD1048576"/>
    </sheetView>
  </sheetViews>
  <sheetFormatPr baseColWidth="10" defaultRowHeight="21" x14ac:dyDescent="0.2"/>
  <cols>
    <col min="1" max="1" width="7.1640625" style="4" customWidth="1"/>
    <col min="2" max="26" width="7.1640625" style="1" customWidth="1"/>
    <col min="27" max="16384" width="10.83203125" style="1"/>
  </cols>
  <sheetData>
    <row r="1" spans="1:26" s="4" customFormat="1" ht="43" customHeight="1" x14ac:dyDescent="0.2">
      <c r="A1" s="6" t="s">
        <v>0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  <c r="V1" s="3">
        <v>21</v>
      </c>
      <c r="W1" s="3">
        <v>22</v>
      </c>
      <c r="X1" s="3">
        <v>23</v>
      </c>
      <c r="Y1" s="3">
        <v>24</v>
      </c>
      <c r="Z1" s="3">
        <v>25</v>
      </c>
    </row>
    <row r="2" spans="1:26" ht="43" customHeight="1" x14ac:dyDescent="0.2">
      <c r="A2" s="3">
        <v>1</v>
      </c>
      <c r="B2" s="2">
        <v>58</v>
      </c>
      <c r="C2" s="2">
        <v>53</v>
      </c>
      <c r="D2" s="2">
        <v>5</v>
      </c>
      <c r="E2" s="2">
        <v>26</v>
      </c>
      <c r="F2" s="2">
        <v>8</v>
      </c>
      <c r="G2" s="2">
        <v>6</v>
      </c>
      <c r="H2" s="2">
        <v>18</v>
      </c>
      <c r="I2" s="2">
        <v>22</v>
      </c>
      <c r="J2" s="2">
        <v>17</v>
      </c>
      <c r="K2" s="2">
        <v>70</v>
      </c>
      <c r="L2" s="2">
        <v>18</v>
      </c>
      <c r="M2" s="2">
        <v>29</v>
      </c>
      <c r="N2" s="2">
        <v>26</v>
      </c>
      <c r="O2" s="2">
        <v>31</v>
      </c>
      <c r="P2" s="2">
        <v>37</v>
      </c>
      <c r="Q2" s="2">
        <v>17</v>
      </c>
      <c r="R2" s="2">
        <v>14</v>
      </c>
      <c r="S2" s="2">
        <v>46</v>
      </c>
      <c r="T2" s="2">
        <v>275</v>
      </c>
      <c r="U2" s="2">
        <v>78</v>
      </c>
      <c r="V2" s="2">
        <v>168</v>
      </c>
      <c r="W2" s="2">
        <v>5807</v>
      </c>
      <c r="X2" s="2">
        <v>4927</v>
      </c>
      <c r="Y2" s="2">
        <v>88</v>
      </c>
      <c r="Z2" s="2">
        <v>62</v>
      </c>
    </row>
    <row r="3" spans="1:26" ht="43" customHeight="1" x14ac:dyDescent="0.2">
      <c r="A3" s="3">
        <v>2</v>
      </c>
      <c r="B3" s="2">
        <v>76</v>
      </c>
      <c r="C3" s="2">
        <v>10</v>
      </c>
      <c r="D3" s="2">
        <v>7</v>
      </c>
      <c r="E3" s="2">
        <v>28</v>
      </c>
      <c r="F3" s="2">
        <v>5</v>
      </c>
      <c r="G3" s="2">
        <v>2</v>
      </c>
      <c r="H3" s="2">
        <v>8</v>
      </c>
      <c r="I3" s="2">
        <v>35</v>
      </c>
      <c r="J3" s="2">
        <v>7</v>
      </c>
      <c r="K3" s="2">
        <v>20</v>
      </c>
      <c r="L3" s="2">
        <v>11</v>
      </c>
      <c r="M3" s="2">
        <v>19</v>
      </c>
      <c r="N3" s="2">
        <v>4</v>
      </c>
      <c r="O3" s="2">
        <v>19</v>
      </c>
      <c r="P3" s="2">
        <v>65</v>
      </c>
      <c r="Q3" s="2">
        <v>82</v>
      </c>
      <c r="R3" s="2">
        <v>52</v>
      </c>
      <c r="S3" s="2">
        <v>17</v>
      </c>
      <c r="T3" s="2">
        <v>331</v>
      </c>
      <c r="U3" s="2">
        <v>131</v>
      </c>
      <c r="V3" s="2">
        <v>372</v>
      </c>
      <c r="W3" s="2">
        <v>1796</v>
      </c>
      <c r="X3" s="2">
        <v>20096</v>
      </c>
      <c r="Y3" s="2">
        <v>127</v>
      </c>
      <c r="Z3" s="2">
        <v>68</v>
      </c>
    </row>
    <row r="4" spans="1:26" ht="43" customHeight="1" x14ac:dyDescent="0.2">
      <c r="A4" s="3">
        <v>3</v>
      </c>
      <c r="B4" s="2">
        <v>216</v>
      </c>
      <c r="C4" s="2">
        <v>38</v>
      </c>
      <c r="D4" s="2">
        <v>8</v>
      </c>
      <c r="E4" s="2">
        <v>98</v>
      </c>
      <c r="F4" s="2">
        <v>11</v>
      </c>
      <c r="G4" s="2">
        <v>6</v>
      </c>
      <c r="H4" s="2">
        <v>3</v>
      </c>
      <c r="I4" s="2">
        <v>8</v>
      </c>
      <c r="J4" s="2">
        <v>12</v>
      </c>
      <c r="K4" s="2">
        <v>31</v>
      </c>
      <c r="L4" s="2">
        <v>9</v>
      </c>
      <c r="M4" s="2">
        <v>82</v>
      </c>
      <c r="N4" s="2">
        <v>12</v>
      </c>
      <c r="O4" s="2">
        <v>16</v>
      </c>
      <c r="P4" s="2">
        <v>24</v>
      </c>
      <c r="Q4" s="2">
        <v>74</v>
      </c>
      <c r="R4" s="2">
        <v>75</v>
      </c>
      <c r="S4" s="2">
        <v>36</v>
      </c>
      <c r="T4" s="2">
        <v>575</v>
      </c>
      <c r="U4" s="2">
        <v>204</v>
      </c>
      <c r="V4" s="2">
        <v>1096</v>
      </c>
      <c r="W4" s="2">
        <v>4388</v>
      </c>
      <c r="X4" s="2">
        <v>14031</v>
      </c>
      <c r="Y4" s="2">
        <v>674</v>
      </c>
      <c r="Z4" s="2">
        <v>100</v>
      </c>
    </row>
    <row r="5" spans="1:26" ht="43" customHeight="1" x14ac:dyDescent="0.2">
      <c r="A5" s="3">
        <v>4</v>
      </c>
      <c r="B5" s="2">
        <v>86</v>
      </c>
      <c r="C5" s="2">
        <v>21</v>
      </c>
      <c r="D5" s="2">
        <v>24</v>
      </c>
      <c r="E5" s="2">
        <v>27</v>
      </c>
      <c r="F5" s="2">
        <v>33</v>
      </c>
      <c r="G5" s="2">
        <v>1</v>
      </c>
      <c r="H5" s="2">
        <v>11</v>
      </c>
      <c r="I5" s="2">
        <v>16</v>
      </c>
      <c r="J5" s="2">
        <v>6</v>
      </c>
      <c r="K5" s="2">
        <v>22</v>
      </c>
      <c r="L5" s="2">
        <v>4</v>
      </c>
      <c r="M5" s="2">
        <v>9</v>
      </c>
      <c r="N5" s="2">
        <v>11</v>
      </c>
      <c r="O5" s="2">
        <v>15</v>
      </c>
      <c r="P5" s="2">
        <v>5</v>
      </c>
      <c r="Q5" s="2">
        <v>7</v>
      </c>
      <c r="R5" s="2">
        <v>33</v>
      </c>
      <c r="S5" s="2">
        <v>44</v>
      </c>
      <c r="T5" s="2">
        <v>1570</v>
      </c>
      <c r="U5" s="2">
        <v>29</v>
      </c>
      <c r="V5" s="2">
        <v>2258</v>
      </c>
      <c r="W5" s="2">
        <v>41675</v>
      </c>
      <c r="X5" s="2">
        <v>46563</v>
      </c>
      <c r="Y5" s="2">
        <v>346</v>
      </c>
      <c r="Z5" s="2">
        <v>681</v>
      </c>
    </row>
    <row r="6" spans="1:26" ht="43" customHeight="1" x14ac:dyDescent="0.2">
      <c r="A6" s="3">
        <v>5</v>
      </c>
      <c r="B6" s="2">
        <v>8</v>
      </c>
      <c r="C6" s="2">
        <v>10</v>
      </c>
      <c r="D6" s="2">
        <v>9</v>
      </c>
      <c r="E6" s="2">
        <v>53</v>
      </c>
      <c r="F6" s="2">
        <v>5</v>
      </c>
      <c r="G6" s="2">
        <v>4</v>
      </c>
      <c r="H6" s="2">
        <v>6</v>
      </c>
      <c r="I6" s="2">
        <v>15</v>
      </c>
      <c r="J6" s="2">
        <v>7</v>
      </c>
      <c r="K6" s="2">
        <v>4</v>
      </c>
      <c r="L6" s="2">
        <v>5</v>
      </c>
      <c r="M6" s="2">
        <v>8</v>
      </c>
      <c r="N6" s="2">
        <v>1</v>
      </c>
      <c r="O6" s="2">
        <v>13</v>
      </c>
      <c r="P6" s="2">
        <v>7</v>
      </c>
      <c r="Q6" s="2">
        <v>2</v>
      </c>
      <c r="R6" s="2">
        <v>4</v>
      </c>
      <c r="S6" s="2">
        <v>12</v>
      </c>
      <c r="T6" s="2">
        <v>320</v>
      </c>
      <c r="U6" s="2">
        <v>33</v>
      </c>
      <c r="V6" s="2">
        <v>158</v>
      </c>
      <c r="W6" s="2">
        <v>50328</v>
      </c>
      <c r="X6" s="2">
        <v>60580</v>
      </c>
      <c r="Y6" s="2">
        <v>428</v>
      </c>
      <c r="Z6" s="2">
        <v>78</v>
      </c>
    </row>
    <row r="7" spans="1:26" ht="43" customHeight="1" x14ac:dyDescent="0.2">
      <c r="A7" s="3">
        <v>6</v>
      </c>
      <c r="B7" s="2">
        <v>0</v>
      </c>
      <c r="C7" s="2">
        <v>0</v>
      </c>
      <c r="D7" s="2">
        <v>0</v>
      </c>
      <c r="E7" s="2">
        <v>21</v>
      </c>
      <c r="F7" s="2">
        <v>4</v>
      </c>
      <c r="G7" s="2">
        <v>2</v>
      </c>
      <c r="H7" s="2">
        <v>10</v>
      </c>
      <c r="I7" s="2">
        <v>17</v>
      </c>
      <c r="J7" s="2">
        <v>7</v>
      </c>
      <c r="K7" s="2">
        <v>6</v>
      </c>
      <c r="L7" s="2">
        <v>2</v>
      </c>
      <c r="M7" s="2">
        <v>4</v>
      </c>
      <c r="N7" s="2">
        <v>6</v>
      </c>
      <c r="O7" s="2">
        <v>0</v>
      </c>
      <c r="P7" s="2">
        <v>5</v>
      </c>
      <c r="Q7" s="2">
        <v>0</v>
      </c>
      <c r="R7" s="2">
        <v>0</v>
      </c>
      <c r="S7" s="2">
        <v>4</v>
      </c>
      <c r="T7" s="2">
        <v>87</v>
      </c>
      <c r="U7" s="2">
        <v>7</v>
      </c>
      <c r="V7" s="2">
        <v>71</v>
      </c>
      <c r="W7" s="2">
        <v>394</v>
      </c>
      <c r="X7" s="2">
        <v>157427</v>
      </c>
      <c r="Y7" s="2">
        <v>1834</v>
      </c>
      <c r="Z7" s="2">
        <v>141</v>
      </c>
    </row>
    <row r="8" spans="1:26" ht="43" customHeight="1" x14ac:dyDescent="0.2">
      <c r="A8" s="3">
        <v>7</v>
      </c>
      <c r="B8" s="2">
        <v>3</v>
      </c>
      <c r="C8" s="2">
        <v>0</v>
      </c>
      <c r="D8" s="2">
        <v>0</v>
      </c>
      <c r="E8" s="2">
        <v>7</v>
      </c>
      <c r="F8" s="2">
        <v>2</v>
      </c>
      <c r="G8" s="2">
        <v>1</v>
      </c>
      <c r="H8" s="2">
        <v>2</v>
      </c>
      <c r="I8" s="2">
        <v>25</v>
      </c>
      <c r="J8" s="2">
        <v>2</v>
      </c>
      <c r="K8" s="2">
        <v>29</v>
      </c>
      <c r="L8" s="2">
        <v>2</v>
      </c>
      <c r="M8" s="2">
        <v>2</v>
      </c>
      <c r="N8" s="2">
        <v>2</v>
      </c>
      <c r="O8" s="2">
        <v>4</v>
      </c>
      <c r="P8" s="2">
        <v>1</v>
      </c>
      <c r="Q8" s="2">
        <v>0</v>
      </c>
      <c r="R8" s="2">
        <v>1</v>
      </c>
      <c r="S8" s="2">
        <v>5</v>
      </c>
      <c r="T8" s="2">
        <v>5</v>
      </c>
      <c r="U8" s="2">
        <v>6</v>
      </c>
      <c r="V8" s="2">
        <v>47</v>
      </c>
      <c r="W8" s="2">
        <v>316</v>
      </c>
      <c r="X8" s="2">
        <v>967</v>
      </c>
      <c r="Y8" s="2">
        <v>1443</v>
      </c>
      <c r="Z8" s="2">
        <v>227</v>
      </c>
    </row>
    <row r="9" spans="1:26" ht="43" customHeight="1" x14ac:dyDescent="0.2">
      <c r="A9" s="3">
        <v>8</v>
      </c>
      <c r="B9" s="2">
        <v>0</v>
      </c>
      <c r="C9" s="2">
        <v>1</v>
      </c>
      <c r="D9" s="2">
        <v>0</v>
      </c>
      <c r="E9" s="2">
        <v>1</v>
      </c>
      <c r="F9" s="2">
        <v>0</v>
      </c>
      <c r="G9" s="2">
        <v>2</v>
      </c>
      <c r="H9" s="2">
        <v>5</v>
      </c>
      <c r="I9" s="2">
        <v>3</v>
      </c>
      <c r="J9" s="2">
        <v>5</v>
      </c>
      <c r="K9" s="2">
        <v>32</v>
      </c>
      <c r="L9" s="2">
        <v>8</v>
      </c>
      <c r="M9" s="2">
        <v>8</v>
      </c>
      <c r="N9" s="2">
        <v>0</v>
      </c>
      <c r="O9" s="2">
        <v>6</v>
      </c>
      <c r="P9" s="2">
        <v>4</v>
      </c>
      <c r="Q9" s="2">
        <v>0</v>
      </c>
      <c r="R9" s="2">
        <v>0</v>
      </c>
      <c r="S9" s="2">
        <v>3</v>
      </c>
      <c r="T9" s="2">
        <v>12</v>
      </c>
      <c r="U9" s="2">
        <v>17</v>
      </c>
      <c r="V9" s="2">
        <v>85</v>
      </c>
      <c r="W9" s="2">
        <v>194</v>
      </c>
      <c r="X9" s="2">
        <v>653</v>
      </c>
      <c r="Y9" s="2">
        <v>97</v>
      </c>
      <c r="Z9" s="2">
        <v>509</v>
      </c>
    </row>
    <row r="10" spans="1:26" ht="43" customHeight="1" x14ac:dyDescent="0.2">
      <c r="A10" s="3">
        <v>9</v>
      </c>
      <c r="B10" s="2">
        <v>0</v>
      </c>
      <c r="C10" s="2">
        <v>0</v>
      </c>
      <c r="D10" s="2">
        <v>2</v>
      </c>
      <c r="E10" s="2">
        <v>7</v>
      </c>
      <c r="F10" s="2">
        <v>9</v>
      </c>
      <c r="G10" s="2">
        <v>10</v>
      </c>
      <c r="H10" s="2">
        <v>20</v>
      </c>
      <c r="I10" s="2">
        <v>8</v>
      </c>
      <c r="J10" s="2">
        <v>0</v>
      </c>
      <c r="K10" s="2">
        <v>85</v>
      </c>
      <c r="L10" s="2">
        <v>6</v>
      </c>
      <c r="M10" s="2">
        <v>91</v>
      </c>
      <c r="N10" s="2">
        <v>22</v>
      </c>
      <c r="O10" s="2">
        <v>35</v>
      </c>
      <c r="P10" s="2">
        <v>8</v>
      </c>
      <c r="Q10" s="2">
        <v>4</v>
      </c>
      <c r="R10" s="2">
        <v>1</v>
      </c>
      <c r="S10" s="2">
        <v>0</v>
      </c>
      <c r="T10" s="2">
        <v>8</v>
      </c>
      <c r="U10" s="2">
        <v>81</v>
      </c>
      <c r="V10" s="2">
        <v>33</v>
      </c>
      <c r="W10" s="2">
        <v>665</v>
      </c>
      <c r="X10" s="2">
        <v>348</v>
      </c>
      <c r="Y10" s="2">
        <v>90</v>
      </c>
      <c r="Z10" s="2">
        <v>30</v>
      </c>
    </row>
    <row r="11" spans="1:26" ht="43" customHeight="1" x14ac:dyDescent="0.2">
      <c r="A11" s="3">
        <v>10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</row>
    <row r="12" spans="1:26" ht="43" customHeight="1" x14ac:dyDescent="0.2">
      <c r="A12" s="3">
        <v>11</v>
      </c>
      <c r="B12" s="2">
        <v>0</v>
      </c>
      <c r="C12" s="2">
        <v>0</v>
      </c>
      <c r="D12" s="2">
        <v>0</v>
      </c>
      <c r="E12" s="2">
        <v>1</v>
      </c>
      <c r="F12" s="2">
        <v>6</v>
      </c>
      <c r="G12" s="2">
        <v>7</v>
      </c>
      <c r="H12" s="2">
        <v>22</v>
      </c>
      <c r="I12" s="2">
        <v>4</v>
      </c>
      <c r="J12" s="2">
        <v>11</v>
      </c>
      <c r="K12" s="2">
        <v>17</v>
      </c>
      <c r="L12" s="2">
        <v>4</v>
      </c>
      <c r="M12" s="2">
        <v>83</v>
      </c>
      <c r="N12" s="2">
        <v>49</v>
      </c>
      <c r="O12" s="2">
        <v>433</v>
      </c>
      <c r="P12" s="2">
        <v>40</v>
      </c>
      <c r="Q12" s="2">
        <v>113</v>
      </c>
      <c r="R12" s="2">
        <v>109</v>
      </c>
      <c r="S12" s="2">
        <v>104</v>
      </c>
      <c r="T12" s="2">
        <v>19</v>
      </c>
      <c r="U12" s="2">
        <v>21</v>
      </c>
      <c r="V12" s="2">
        <v>26</v>
      </c>
      <c r="W12" s="2">
        <v>25</v>
      </c>
      <c r="X12" s="2">
        <v>331</v>
      </c>
      <c r="Y12" s="2">
        <v>19</v>
      </c>
      <c r="Z12" s="2">
        <v>63</v>
      </c>
    </row>
    <row r="13" spans="1:26" ht="43" customHeight="1" x14ac:dyDescent="0.2">
      <c r="A13" s="3">
        <v>12</v>
      </c>
      <c r="B13" s="2">
        <v>0</v>
      </c>
      <c r="C13" s="2">
        <v>0</v>
      </c>
      <c r="D13" s="2">
        <v>0</v>
      </c>
      <c r="E13" s="2">
        <v>2</v>
      </c>
      <c r="F13" s="2">
        <v>0</v>
      </c>
      <c r="G13" s="2">
        <v>6</v>
      </c>
      <c r="H13" s="2">
        <v>8</v>
      </c>
      <c r="I13" s="2">
        <v>2</v>
      </c>
      <c r="J13" s="2">
        <v>2</v>
      </c>
      <c r="K13" s="2">
        <v>15</v>
      </c>
      <c r="L13" s="2">
        <v>4</v>
      </c>
      <c r="M13" s="2">
        <v>5</v>
      </c>
      <c r="N13" s="2">
        <v>123</v>
      </c>
      <c r="O13" s="2">
        <v>50</v>
      </c>
      <c r="P13" s="2">
        <v>50</v>
      </c>
      <c r="Q13" s="2">
        <v>144</v>
      </c>
      <c r="R13" s="2">
        <v>168</v>
      </c>
      <c r="S13" s="2">
        <v>124</v>
      </c>
      <c r="T13" s="2">
        <v>237</v>
      </c>
      <c r="U13" s="2">
        <v>32</v>
      </c>
      <c r="V13" s="2">
        <v>21</v>
      </c>
      <c r="W13" s="2">
        <v>38</v>
      </c>
      <c r="X13" s="2">
        <v>80</v>
      </c>
      <c r="Y13" s="2">
        <v>4</v>
      </c>
      <c r="Z13" s="2">
        <v>52</v>
      </c>
    </row>
    <row r="14" spans="1:26" ht="43" customHeight="1" x14ac:dyDescent="0.2">
      <c r="A14" s="3">
        <v>13</v>
      </c>
      <c r="B14" s="2">
        <v>0</v>
      </c>
      <c r="C14" s="2">
        <v>0</v>
      </c>
      <c r="D14" s="2">
        <v>0</v>
      </c>
      <c r="E14" s="2">
        <v>0</v>
      </c>
      <c r="F14" s="2">
        <v>1</v>
      </c>
      <c r="G14" s="2">
        <v>1</v>
      </c>
      <c r="H14" s="2">
        <v>5</v>
      </c>
      <c r="I14" s="2">
        <v>0</v>
      </c>
      <c r="J14" s="2">
        <v>5</v>
      </c>
      <c r="K14" s="2">
        <v>10</v>
      </c>
      <c r="L14" s="2">
        <v>2</v>
      </c>
      <c r="M14" s="2">
        <v>2</v>
      </c>
      <c r="N14" s="2">
        <v>7</v>
      </c>
      <c r="O14" s="2">
        <v>100</v>
      </c>
      <c r="P14" s="2">
        <v>7</v>
      </c>
      <c r="Q14" s="2">
        <v>138</v>
      </c>
      <c r="R14" s="2">
        <v>207</v>
      </c>
      <c r="S14" s="2">
        <v>95</v>
      </c>
      <c r="T14" s="2">
        <v>130</v>
      </c>
      <c r="U14" s="2">
        <v>103</v>
      </c>
      <c r="V14" s="2">
        <v>25</v>
      </c>
      <c r="W14" s="2">
        <v>29</v>
      </c>
      <c r="X14" s="2">
        <v>153</v>
      </c>
      <c r="Y14" s="2">
        <v>5</v>
      </c>
      <c r="Z14" s="2">
        <v>23</v>
      </c>
    </row>
    <row r="15" spans="1:26" ht="43" customHeight="1" x14ac:dyDescent="0.2">
      <c r="A15" s="3">
        <v>14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2</v>
      </c>
      <c r="H15" s="2">
        <v>0</v>
      </c>
      <c r="I15" s="2">
        <v>0</v>
      </c>
      <c r="J15" s="2">
        <v>2</v>
      </c>
      <c r="K15" s="2">
        <v>9</v>
      </c>
      <c r="L15" s="2">
        <v>2</v>
      </c>
      <c r="M15" s="2">
        <v>9</v>
      </c>
      <c r="N15" s="2">
        <v>5</v>
      </c>
      <c r="O15" s="2">
        <v>4</v>
      </c>
      <c r="P15" s="2">
        <v>16</v>
      </c>
      <c r="Q15" s="2">
        <v>27</v>
      </c>
      <c r="R15" s="2">
        <v>165</v>
      </c>
      <c r="S15" s="2">
        <v>72</v>
      </c>
      <c r="T15" s="2">
        <v>74</v>
      </c>
      <c r="U15" s="2">
        <v>52</v>
      </c>
      <c r="V15" s="2">
        <v>156</v>
      </c>
      <c r="W15" s="2">
        <v>25</v>
      </c>
      <c r="X15" s="2">
        <v>125</v>
      </c>
      <c r="Y15" s="2">
        <v>0</v>
      </c>
      <c r="Z15" s="2">
        <v>4</v>
      </c>
    </row>
    <row r="16" spans="1:26" ht="43" customHeight="1" x14ac:dyDescent="0.2">
      <c r="A16" s="3">
        <v>15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1</v>
      </c>
      <c r="K16" s="2">
        <v>5</v>
      </c>
      <c r="L16" s="2">
        <v>5</v>
      </c>
      <c r="M16" s="2">
        <v>18</v>
      </c>
      <c r="N16" s="2">
        <v>32</v>
      </c>
      <c r="O16" s="2">
        <v>6</v>
      </c>
      <c r="P16" s="2">
        <v>1</v>
      </c>
      <c r="Q16" s="2">
        <v>32</v>
      </c>
      <c r="R16" s="2">
        <v>20</v>
      </c>
      <c r="S16" s="2">
        <v>79</v>
      </c>
      <c r="T16" s="2">
        <v>49</v>
      </c>
      <c r="U16" s="2">
        <v>34</v>
      </c>
      <c r="V16" s="2">
        <v>68</v>
      </c>
      <c r="W16" s="2">
        <v>73</v>
      </c>
      <c r="X16" s="2">
        <v>103</v>
      </c>
      <c r="Y16" s="2">
        <v>4</v>
      </c>
      <c r="Z16" s="2">
        <v>12</v>
      </c>
    </row>
    <row r="17" spans="1:26" ht="43" customHeight="1" x14ac:dyDescent="0.2">
      <c r="A17" s="3">
        <v>16</v>
      </c>
      <c r="B17" s="2">
        <v>0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2</v>
      </c>
      <c r="I17" s="2">
        <v>0</v>
      </c>
      <c r="J17" s="2">
        <v>0</v>
      </c>
      <c r="K17" s="2">
        <v>6</v>
      </c>
      <c r="L17" s="2">
        <v>3</v>
      </c>
      <c r="M17" s="2">
        <v>19</v>
      </c>
      <c r="N17" s="2">
        <v>80</v>
      </c>
      <c r="O17" s="2">
        <v>23</v>
      </c>
      <c r="P17" s="2">
        <v>3</v>
      </c>
      <c r="Q17" s="2">
        <v>0</v>
      </c>
      <c r="R17" s="2">
        <v>41</v>
      </c>
      <c r="S17" s="2">
        <v>9</v>
      </c>
      <c r="T17" s="2">
        <v>119</v>
      </c>
      <c r="U17" s="2">
        <v>21</v>
      </c>
      <c r="V17" s="2">
        <v>42</v>
      </c>
      <c r="W17" s="2">
        <v>84</v>
      </c>
      <c r="X17" s="2">
        <v>109</v>
      </c>
      <c r="Y17" s="2">
        <v>13</v>
      </c>
      <c r="Z17" s="2">
        <v>4</v>
      </c>
    </row>
    <row r="18" spans="1:26" ht="43" customHeight="1" x14ac:dyDescent="0.2">
      <c r="A18" s="3">
        <v>17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1</v>
      </c>
      <c r="L18" s="2">
        <v>0</v>
      </c>
      <c r="M18" s="2">
        <v>8</v>
      </c>
      <c r="N18" s="2">
        <v>67</v>
      </c>
      <c r="O18" s="2">
        <v>44</v>
      </c>
      <c r="P18" s="2">
        <v>8</v>
      </c>
      <c r="Q18" s="2">
        <v>2</v>
      </c>
      <c r="R18" s="2">
        <v>1</v>
      </c>
      <c r="S18" s="2">
        <v>11</v>
      </c>
      <c r="T18" s="2">
        <v>16</v>
      </c>
      <c r="U18" s="2">
        <v>51</v>
      </c>
      <c r="V18" s="2">
        <v>32</v>
      </c>
      <c r="W18" s="2">
        <v>31</v>
      </c>
      <c r="X18" s="2">
        <v>180</v>
      </c>
      <c r="Y18" s="2">
        <v>27</v>
      </c>
      <c r="Z18" s="2">
        <v>7</v>
      </c>
    </row>
    <row r="19" spans="1:26" ht="43" customHeight="1" x14ac:dyDescent="0.2">
      <c r="A19" s="3">
        <v>18</v>
      </c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1</v>
      </c>
      <c r="L19" s="2">
        <v>1</v>
      </c>
      <c r="M19" s="2">
        <v>13</v>
      </c>
      <c r="N19" s="2">
        <v>22</v>
      </c>
      <c r="O19" s="2">
        <v>38</v>
      </c>
      <c r="P19" s="2">
        <v>14</v>
      </c>
      <c r="Q19" s="2">
        <v>3</v>
      </c>
      <c r="R19" s="2">
        <v>2</v>
      </c>
      <c r="S19" s="2">
        <v>2</v>
      </c>
      <c r="T19" s="2">
        <v>28</v>
      </c>
      <c r="U19" s="2">
        <v>6</v>
      </c>
      <c r="V19" s="2">
        <v>21</v>
      </c>
      <c r="W19" s="2">
        <v>22</v>
      </c>
      <c r="X19" s="2">
        <v>24</v>
      </c>
      <c r="Y19" s="2">
        <v>23</v>
      </c>
      <c r="Z19" s="2">
        <v>43</v>
      </c>
    </row>
    <row r="20" spans="1:26" ht="43" customHeight="1" x14ac:dyDescent="0.2">
      <c r="A20" s="3">
        <v>19</v>
      </c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1</v>
      </c>
      <c r="N20" s="2">
        <v>28</v>
      </c>
      <c r="O20" s="2">
        <v>11</v>
      </c>
      <c r="P20" s="2">
        <v>15</v>
      </c>
      <c r="Q20" s="2">
        <v>10</v>
      </c>
      <c r="R20" s="2">
        <v>2</v>
      </c>
      <c r="S20" s="2">
        <v>0</v>
      </c>
      <c r="T20" s="2">
        <v>4</v>
      </c>
      <c r="U20" s="2">
        <v>11</v>
      </c>
      <c r="V20" s="2">
        <v>2</v>
      </c>
      <c r="W20" s="2">
        <v>19</v>
      </c>
      <c r="X20" s="2">
        <v>42</v>
      </c>
      <c r="Y20" s="2">
        <v>2</v>
      </c>
      <c r="Z20" s="2">
        <v>19</v>
      </c>
    </row>
    <row r="21" spans="1:26" ht="43" customHeight="1" x14ac:dyDescent="0.2">
      <c r="A21" s="3">
        <v>20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1</v>
      </c>
      <c r="O21" s="2">
        <v>9</v>
      </c>
      <c r="P21" s="2">
        <v>0</v>
      </c>
      <c r="Q21" s="2">
        <v>6</v>
      </c>
      <c r="R21" s="2">
        <v>5</v>
      </c>
      <c r="S21" s="2">
        <v>1</v>
      </c>
      <c r="T21" s="2">
        <v>0</v>
      </c>
      <c r="U21" s="2">
        <v>2</v>
      </c>
      <c r="V21" s="2">
        <v>8</v>
      </c>
      <c r="W21" s="2">
        <v>5</v>
      </c>
      <c r="X21" s="2">
        <v>28</v>
      </c>
      <c r="Y21" s="2">
        <v>4</v>
      </c>
      <c r="Z21" s="2">
        <v>1</v>
      </c>
    </row>
    <row r="22" spans="1:26" ht="43" customHeight="1" x14ac:dyDescent="0.2">
      <c r="A22" s="3">
        <v>21</v>
      </c>
      <c r="B22" s="2">
        <v>0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1</v>
      </c>
      <c r="Q22" s="2">
        <v>3</v>
      </c>
      <c r="R22" s="2">
        <v>1</v>
      </c>
      <c r="S22" s="2">
        <v>0</v>
      </c>
      <c r="T22" s="2">
        <v>1</v>
      </c>
      <c r="U22" s="2">
        <v>0</v>
      </c>
      <c r="V22" s="2">
        <v>0</v>
      </c>
      <c r="W22" s="2">
        <v>2</v>
      </c>
      <c r="X22" s="2">
        <v>20</v>
      </c>
      <c r="Y22" s="2">
        <v>1</v>
      </c>
      <c r="Z22" s="2">
        <v>4</v>
      </c>
    </row>
    <row r="23" spans="1:26" ht="43" customHeight="1" x14ac:dyDescent="0.2">
      <c r="A23" s="3">
        <v>22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3</v>
      </c>
      <c r="S23" s="2">
        <v>1</v>
      </c>
      <c r="T23" s="2">
        <v>3</v>
      </c>
      <c r="U23" s="2">
        <v>0</v>
      </c>
      <c r="V23" s="2">
        <v>1</v>
      </c>
      <c r="W23" s="2">
        <v>0</v>
      </c>
      <c r="X23" s="2">
        <v>25</v>
      </c>
      <c r="Y23" s="2">
        <v>0</v>
      </c>
      <c r="Z23" s="2">
        <v>4</v>
      </c>
    </row>
    <row r="24" spans="1:26" ht="43" customHeight="1" x14ac:dyDescent="0.2">
      <c r="A24" s="3">
        <v>23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2</v>
      </c>
      <c r="S24" s="2">
        <v>0</v>
      </c>
      <c r="T24" s="2">
        <v>3</v>
      </c>
      <c r="U24" s="2">
        <v>1</v>
      </c>
      <c r="V24" s="2">
        <v>1</v>
      </c>
      <c r="W24" s="2">
        <v>1</v>
      </c>
      <c r="X24" s="2">
        <v>4</v>
      </c>
      <c r="Y24" s="2">
        <v>1</v>
      </c>
      <c r="Z24" s="2">
        <v>1</v>
      </c>
    </row>
    <row r="25" spans="1:26" ht="43" customHeight="1" x14ac:dyDescent="0.2">
      <c r="A25" s="3">
        <v>24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1</v>
      </c>
      <c r="V25" s="2">
        <v>0</v>
      </c>
      <c r="W25" s="2">
        <v>0</v>
      </c>
      <c r="X25" s="2">
        <v>1</v>
      </c>
      <c r="Y25" s="2">
        <v>0</v>
      </c>
      <c r="Z25" s="2">
        <v>0</v>
      </c>
    </row>
    <row r="26" spans="1:26" ht="43" customHeight="1" x14ac:dyDescent="0.2">
      <c r="A26" s="3">
        <v>25</v>
      </c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1</v>
      </c>
      <c r="U26" s="2">
        <v>0</v>
      </c>
      <c r="V26" s="2">
        <v>0</v>
      </c>
      <c r="W26" s="2">
        <v>0</v>
      </c>
      <c r="X26" s="2">
        <v>3</v>
      </c>
      <c r="Y26" s="2">
        <v>0</v>
      </c>
      <c r="Z26" s="2">
        <v>0</v>
      </c>
    </row>
  </sheetData>
  <conditionalFormatting sqref="B2:Z2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3">
      <colorScale>
        <cfvo type="min"/>
        <cfvo type="max"/>
        <color theme="0"/>
        <color rgb="FFFF0000"/>
      </colorScale>
    </cfRule>
  </conditionalFormatting>
  <conditionalFormatting sqref="T12">
    <cfRule type="colorScale" priority="2">
      <colorScale>
        <cfvo type="min"/>
        <cfvo type="max"/>
        <color theme="5" tint="0.79998168889431442"/>
        <color rgb="FFFF0000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26"/>
  <sheetViews>
    <sheetView workbookViewId="0"/>
  </sheetViews>
  <sheetFormatPr baseColWidth="10" defaultRowHeight="21" x14ac:dyDescent="0.2"/>
  <cols>
    <col min="1" max="1" width="7.1640625" style="4" customWidth="1"/>
    <col min="2" max="26" width="7.1640625" style="1" customWidth="1"/>
    <col min="27" max="16384" width="10.83203125" style="1"/>
  </cols>
  <sheetData>
    <row r="1" spans="1:26" s="4" customFormat="1" ht="43" customHeight="1" x14ac:dyDescent="0.2">
      <c r="A1" s="6" t="s">
        <v>0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  <c r="V1" s="3">
        <v>21</v>
      </c>
      <c r="W1" s="3">
        <v>22</v>
      </c>
      <c r="X1" s="3">
        <v>23</v>
      </c>
      <c r="Y1" s="3">
        <v>24</v>
      </c>
      <c r="Z1" s="3">
        <v>25</v>
      </c>
    </row>
    <row r="2" spans="1:26" ht="43" customHeight="1" x14ac:dyDescent="0.2">
      <c r="A2" s="3">
        <v>1</v>
      </c>
      <c r="B2" s="2">
        <v>43</v>
      </c>
      <c r="C2" s="2">
        <v>20</v>
      </c>
      <c r="D2" s="2">
        <v>11</v>
      </c>
      <c r="E2" s="2">
        <v>6</v>
      </c>
      <c r="F2" s="2">
        <v>42</v>
      </c>
      <c r="G2" s="2">
        <v>15</v>
      </c>
      <c r="H2" s="2">
        <v>37</v>
      </c>
      <c r="I2" s="2">
        <v>34</v>
      </c>
      <c r="J2" s="2">
        <v>11</v>
      </c>
      <c r="K2" s="2">
        <v>22</v>
      </c>
      <c r="L2" s="2">
        <v>26</v>
      </c>
      <c r="M2" s="2">
        <v>38</v>
      </c>
      <c r="N2" s="2">
        <v>20</v>
      </c>
      <c r="O2" s="2">
        <v>12</v>
      </c>
      <c r="P2" s="2">
        <v>16</v>
      </c>
      <c r="Q2" s="2">
        <v>95</v>
      </c>
      <c r="R2" s="2">
        <v>75</v>
      </c>
      <c r="S2" s="2">
        <v>74</v>
      </c>
      <c r="T2" s="2">
        <v>144</v>
      </c>
      <c r="U2" s="2">
        <v>160</v>
      </c>
      <c r="V2" s="2">
        <v>108</v>
      </c>
      <c r="W2" s="2">
        <v>581</v>
      </c>
      <c r="X2" s="2">
        <v>4793</v>
      </c>
      <c r="Y2" s="2">
        <v>0</v>
      </c>
      <c r="Z2" s="2">
        <v>0</v>
      </c>
    </row>
    <row r="3" spans="1:26" ht="43" customHeight="1" x14ac:dyDescent="0.2">
      <c r="A3" s="3">
        <v>2</v>
      </c>
      <c r="B3" s="2">
        <v>24</v>
      </c>
      <c r="C3" s="2">
        <v>6</v>
      </c>
      <c r="D3" s="2">
        <v>5</v>
      </c>
      <c r="E3" s="2">
        <v>97</v>
      </c>
      <c r="F3" s="2">
        <v>8</v>
      </c>
      <c r="G3" s="2">
        <v>9</v>
      </c>
      <c r="H3" s="2">
        <v>8</v>
      </c>
      <c r="I3" s="2">
        <v>23</v>
      </c>
      <c r="J3" s="2">
        <v>16</v>
      </c>
      <c r="K3" s="2">
        <v>30</v>
      </c>
      <c r="L3" s="2">
        <v>22</v>
      </c>
      <c r="M3" s="2">
        <v>12</v>
      </c>
      <c r="N3" s="2">
        <v>11</v>
      </c>
      <c r="O3" s="2">
        <v>15</v>
      </c>
      <c r="P3" s="2">
        <v>123</v>
      </c>
      <c r="Q3" s="2">
        <v>70</v>
      </c>
      <c r="R3" s="2">
        <v>23</v>
      </c>
      <c r="S3" s="2">
        <v>17</v>
      </c>
      <c r="T3" s="2">
        <v>612</v>
      </c>
      <c r="U3" s="2">
        <v>27</v>
      </c>
      <c r="V3" s="2">
        <v>133</v>
      </c>
      <c r="W3" s="2">
        <v>776</v>
      </c>
      <c r="X3" s="2">
        <v>0</v>
      </c>
      <c r="Y3" s="2">
        <v>0</v>
      </c>
      <c r="Z3" s="2">
        <v>0</v>
      </c>
    </row>
    <row r="4" spans="1:26" ht="43" customHeight="1" x14ac:dyDescent="0.2">
      <c r="A4" s="3">
        <v>3</v>
      </c>
      <c r="B4" s="2">
        <v>35</v>
      </c>
      <c r="C4" s="2">
        <v>13</v>
      </c>
      <c r="D4" s="2">
        <v>15</v>
      </c>
      <c r="E4" s="2">
        <v>28</v>
      </c>
      <c r="F4" s="2">
        <v>4</v>
      </c>
      <c r="G4" s="2">
        <v>3</v>
      </c>
      <c r="H4" s="2">
        <v>15</v>
      </c>
      <c r="I4" s="2">
        <v>15</v>
      </c>
      <c r="J4" s="2">
        <v>11</v>
      </c>
      <c r="K4" s="2">
        <v>49</v>
      </c>
      <c r="L4" s="2">
        <v>10</v>
      </c>
      <c r="M4" s="2">
        <v>11</v>
      </c>
      <c r="N4" s="2">
        <v>9</v>
      </c>
      <c r="O4" s="2">
        <v>114</v>
      </c>
      <c r="P4" s="2">
        <v>72</v>
      </c>
      <c r="Q4" s="2">
        <v>42</v>
      </c>
      <c r="R4" s="2">
        <v>14</v>
      </c>
      <c r="S4" s="2">
        <v>51</v>
      </c>
      <c r="T4" s="2">
        <v>55</v>
      </c>
      <c r="U4" s="2">
        <v>38</v>
      </c>
      <c r="V4" s="2">
        <v>86</v>
      </c>
      <c r="W4" s="2">
        <v>0</v>
      </c>
      <c r="X4" s="2">
        <v>0</v>
      </c>
      <c r="Y4" s="2">
        <v>0</v>
      </c>
      <c r="Z4" s="2">
        <v>0</v>
      </c>
    </row>
    <row r="5" spans="1:26" ht="43" customHeight="1" x14ac:dyDescent="0.2">
      <c r="A5" s="3">
        <v>4</v>
      </c>
      <c r="B5" s="2">
        <v>15</v>
      </c>
      <c r="C5" s="2">
        <v>21</v>
      </c>
      <c r="D5" s="2">
        <v>9</v>
      </c>
      <c r="E5" s="2">
        <v>20</v>
      </c>
      <c r="F5" s="2">
        <v>7</v>
      </c>
      <c r="G5" s="2">
        <v>9</v>
      </c>
      <c r="H5" s="2">
        <v>16</v>
      </c>
      <c r="I5" s="2">
        <v>52</v>
      </c>
      <c r="J5" s="2">
        <v>28</v>
      </c>
      <c r="K5" s="2">
        <v>25</v>
      </c>
      <c r="L5" s="2">
        <v>16</v>
      </c>
      <c r="M5" s="2">
        <v>7</v>
      </c>
      <c r="N5" s="2">
        <v>76</v>
      </c>
      <c r="O5" s="2">
        <v>26</v>
      </c>
      <c r="P5" s="2">
        <v>51</v>
      </c>
      <c r="Q5" s="2">
        <v>16</v>
      </c>
      <c r="R5" s="2">
        <v>33</v>
      </c>
      <c r="S5" s="2">
        <v>5</v>
      </c>
      <c r="T5" s="2">
        <v>96</v>
      </c>
      <c r="U5" s="2">
        <v>30</v>
      </c>
      <c r="V5" s="2">
        <v>0</v>
      </c>
      <c r="W5" s="2">
        <v>0</v>
      </c>
      <c r="X5" s="2">
        <v>0</v>
      </c>
      <c r="Y5" s="2">
        <v>0</v>
      </c>
      <c r="Z5" s="2">
        <v>0</v>
      </c>
    </row>
    <row r="6" spans="1:26" ht="43" customHeight="1" x14ac:dyDescent="0.2">
      <c r="A6" s="3">
        <v>5</v>
      </c>
      <c r="B6" s="2">
        <v>83</v>
      </c>
      <c r="C6" s="2">
        <v>5</v>
      </c>
      <c r="D6" s="2">
        <v>6</v>
      </c>
      <c r="E6" s="2">
        <v>30</v>
      </c>
      <c r="F6" s="2">
        <v>9</v>
      </c>
      <c r="G6" s="2">
        <v>13</v>
      </c>
      <c r="H6" s="2">
        <v>32</v>
      </c>
      <c r="I6" s="2">
        <v>84</v>
      </c>
      <c r="J6" s="2">
        <v>5</v>
      </c>
      <c r="K6" s="2">
        <v>27</v>
      </c>
      <c r="L6" s="2">
        <v>10</v>
      </c>
      <c r="M6" s="2">
        <v>199</v>
      </c>
      <c r="N6" s="2">
        <v>51</v>
      </c>
      <c r="O6" s="2">
        <v>54</v>
      </c>
      <c r="P6" s="2">
        <v>26</v>
      </c>
      <c r="Q6" s="2">
        <v>61</v>
      </c>
      <c r="R6" s="2">
        <v>3</v>
      </c>
      <c r="S6" s="2">
        <v>25</v>
      </c>
      <c r="T6" s="2">
        <v>86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</row>
    <row r="7" spans="1:26" ht="43" customHeight="1" x14ac:dyDescent="0.2">
      <c r="A7" s="3">
        <v>6</v>
      </c>
      <c r="B7" s="2">
        <v>10</v>
      </c>
      <c r="C7" s="2">
        <v>5</v>
      </c>
      <c r="D7" s="2">
        <v>6</v>
      </c>
      <c r="E7" s="2">
        <v>24</v>
      </c>
      <c r="F7" s="2">
        <v>0</v>
      </c>
      <c r="G7" s="2">
        <v>1</v>
      </c>
      <c r="H7" s="2">
        <v>20</v>
      </c>
      <c r="I7" s="2">
        <v>23</v>
      </c>
      <c r="J7" s="2">
        <v>7</v>
      </c>
      <c r="K7" s="2">
        <v>9</v>
      </c>
      <c r="L7" s="2">
        <v>92</v>
      </c>
      <c r="M7" s="2">
        <v>63</v>
      </c>
      <c r="N7" s="2">
        <v>52</v>
      </c>
      <c r="O7" s="2">
        <v>15</v>
      </c>
      <c r="P7" s="2">
        <v>85</v>
      </c>
      <c r="Q7" s="2">
        <v>13</v>
      </c>
      <c r="R7" s="2">
        <v>10</v>
      </c>
      <c r="S7" s="2">
        <v>11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</row>
    <row r="8" spans="1:26" ht="43" customHeight="1" x14ac:dyDescent="0.2">
      <c r="A8" s="3">
        <v>7</v>
      </c>
      <c r="B8" s="2">
        <v>18</v>
      </c>
      <c r="C8" s="2">
        <v>34</v>
      </c>
      <c r="D8" s="2">
        <v>5</v>
      </c>
      <c r="E8" s="2">
        <v>13</v>
      </c>
      <c r="F8" s="2">
        <v>5</v>
      </c>
      <c r="G8" s="2">
        <v>5</v>
      </c>
      <c r="H8" s="2">
        <v>12</v>
      </c>
      <c r="I8" s="2">
        <v>12</v>
      </c>
      <c r="J8" s="2">
        <v>5</v>
      </c>
      <c r="K8" s="2">
        <v>56</v>
      </c>
      <c r="L8" s="2">
        <v>43</v>
      </c>
      <c r="M8" s="2">
        <v>27</v>
      </c>
      <c r="N8" s="2">
        <v>7</v>
      </c>
      <c r="O8" s="2">
        <v>153</v>
      </c>
      <c r="P8" s="2">
        <v>8</v>
      </c>
      <c r="Q8" s="2">
        <v>31</v>
      </c>
      <c r="R8" s="2">
        <v>5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</row>
    <row r="9" spans="1:26" ht="43" customHeight="1" x14ac:dyDescent="0.2">
      <c r="A9" s="3">
        <v>8</v>
      </c>
      <c r="B9" s="2">
        <v>14</v>
      </c>
      <c r="C9" s="2">
        <v>8</v>
      </c>
      <c r="D9" s="2">
        <v>4</v>
      </c>
      <c r="E9" s="2">
        <v>46</v>
      </c>
      <c r="F9" s="2">
        <v>15</v>
      </c>
      <c r="G9" s="2">
        <v>2</v>
      </c>
      <c r="H9" s="2">
        <v>6</v>
      </c>
      <c r="I9" s="2">
        <v>11</v>
      </c>
      <c r="J9" s="2">
        <v>57</v>
      </c>
      <c r="K9" s="2">
        <v>58</v>
      </c>
      <c r="L9" s="2">
        <v>27</v>
      </c>
      <c r="M9" s="2">
        <v>5</v>
      </c>
      <c r="N9" s="2">
        <v>143</v>
      </c>
      <c r="O9" s="2">
        <v>8</v>
      </c>
      <c r="P9" s="2">
        <v>21</v>
      </c>
      <c r="Q9" s="2">
        <v>10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</row>
    <row r="10" spans="1:26" ht="43" customHeight="1" x14ac:dyDescent="0.2">
      <c r="A10" s="3">
        <v>9</v>
      </c>
      <c r="B10" s="2">
        <v>15</v>
      </c>
      <c r="C10" s="2">
        <v>12</v>
      </c>
      <c r="D10" s="2">
        <v>9</v>
      </c>
      <c r="E10" s="2">
        <v>61</v>
      </c>
      <c r="F10" s="2">
        <v>5</v>
      </c>
      <c r="G10" s="2">
        <v>2</v>
      </c>
      <c r="H10" s="2">
        <v>7</v>
      </c>
      <c r="I10" s="2">
        <v>142</v>
      </c>
      <c r="J10" s="2">
        <v>36</v>
      </c>
      <c r="K10" s="2">
        <v>19</v>
      </c>
      <c r="L10" s="2">
        <v>15</v>
      </c>
      <c r="M10" s="2">
        <v>72</v>
      </c>
      <c r="N10" s="2">
        <v>15</v>
      </c>
      <c r="O10" s="2">
        <v>15</v>
      </c>
      <c r="P10" s="2">
        <v>18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</row>
    <row r="11" spans="1:26" ht="43" customHeight="1" x14ac:dyDescent="0.2">
      <c r="A11" s="3">
        <v>10</v>
      </c>
      <c r="B11" s="2">
        <v>9</v>
      </c>
      <c r="C11" s="2">
        <v>10</v>
      </c>
      <c r="D11" s="2">
        <v>6</v>
      </c>
      <c r="E11" s="2">
        <v>11</v>
      </c>
      <c r="F11" s="2">
        <v>6</v>
      </c>
      <c r="G11" s="2">
        <v>4</v>
      </c>
      <c r="H11" s="2">
        <v>158</v>
      </c>
      <c r="I11" s="2">
        <v>126</v>
      </c>
      <c r="J11" s="2">
        <v>12</v>
      </c>
      <c r="K11" s="2">
        <v>16</v>
      </c>
      <c r="L11" s="2">
        <v>51</v>
      </c>
      <c r="M11" s="2">
        <v>10</v>
      </c>
      <c r="N11" s="2">
        <v>26</v>
      </c>
      <c r="O11" s="2">
        <v>10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</row>
    <row r="12" spans="1:26" ht="43" customHeight="1" x14ac:dyDescent="0.2">
      <c r="A12" s="3">
        <v>11</v>
      </c>
      <c r="B12" s="2">
        <v>26</v>
      </c>
      <c r="C12" s="2">
        <v>12</v>
      </c>
      <c r="D12" s="2">
        <v>8</v>
      </c>
      <c r="E12" s="2">
        <v>8</v>
      </c>
      <c r="F12" s="2">
        <v>1</v>
      </c>
      <c r="G12" s="2">
        <v>81</v>
      </c>
      <c r="H12" s="2">
        <v>31</v>
      </c>
      <c r="I12" s="2">
        <v>75</v>
      </c>
      <c r="J12" s="2">
        <v>6</v>
      </c>
      <c r="K12" s="2">
        <v>77</v>
      </c>
      <c r="L12" s="2">
        <v>13</v>
      </c>
      <c r="M12" s="2">
        <v>26</v>
      </c>
      <c r="N12" s="2">
        <v>3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</row>
    <row r="13" spans="1:26" ht="43" customHeight="1" x14ac:dyDescent="0.2">
      <c r="A13" s="3">
        <v>12</v>
      </c>
      <c r="B13" s="2">
        <v>46</v>
      </c>
      <c r="C13" s="2">
        <v>1</v>
      </c>
      <c r="D13" s="2">
        <v>5</v>
      </c>
      <c r="E13" s="2">
        <v>11</v>
      </c>
      <c r="F13" s="2">
        <v>79</v>
      </c>
      <c r="G13" s="2">
        <v>46</v>
      </c>
      <c r="H13" s="2">
        <v>24</v>
      </c>
      <c r="I13" s="2">
        <v>42</v>
      </c>
      <c r="J13" s="2">
        <v>36</v>
      </c>
      <c r="K13" s="2">
        <v>12</v>
      </c>
      <c r="L13" s="2">
        <v>27</v>
      </c>
      <c r="M13" s="2">
        <v>19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</row>
    <row r="14" spans="1:26" ht="43" customHeight="1" x14ac:dyDescent="0.2">
      <c r="A14" s="3">
        <v>13</v>
      </c>
      <c r="B14" s="2">
        <v>8</v>
      </c>
      <c r="C14" s="2">
        <v>2</v>
      </c>
      <c r="D14" s="2">
        <v>0</v>
      </c>
      <c r="E14" s="2">
        <v>130</v>
      </c>
      <c r="F14" s="2">
        <v>33</v>
      </c>
      <c r="G14" s="2">
        <v>19</v>
      </c>
      <c r="H14" s="2">
        <v>6</v>
      </c>
      <c r="I14" s="2">
        <v>200</v>
      </c>
      <c r="J14" s="2">
        <v>5</v>
      </c>
      <c r="K14" s="2">
        <v>25</v>
      </c>
      <c r="L14" s="2">
        <v>10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</row>
    <row r="15" spans="1:26" ht="43" customHeight="1" x14ac:dyDescent="0.2">
      <c r="A15" s="3">
        <v>14</v>
      </c>
      <c r="B15" s="2">
        <v>4</v>
      </c>
      <c r="C15" s="2">
        <v>1</v>
      </c>
      <c r="D15" s="2">
        <v>27</v>
      </c>
      <c r="E15" s="2">
        <v>83</v>
      </c>
      <c r="F15" s="2">
        <v>21</v>
      </c>
      <c r="G15" s="2">
        <v>7</v>
      </c>
      <c r="H15" s="2">
        <v>45</v>
      </c>
      <c r="I15" s="2">
        <v>32</v>
      </c>
      <c r="J15" s="2">
        <v>15</v>
      </c>
      <c r="K15" s="2">
        <v>17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</row>
    <row r="16" spans="1:26" ht="43" customHeight="1" x14ac:dyDescent="0.2">
      <c r="A16" s="3">
        <v>15</v>
      </c>
      <c r="B16" s="2">
        <v>5</v>
      </c>
      <c r="C16" s="2">
        <v>20</v>
      </c>
      <c r="D16" s="2">
        <v>14</v>
      </c>
      <c r="E16" s="2">
        <v>57</v>
      </c>
      <c r="F16" s="2">
        <v>8</v>
      </c>
      <c r="G16" s="2">
        <v>14</v>
      </c>
      <c r="H16" s="2">
        <v>8</v>
      </c>
      <c r="I16" s="2">
        <v>63</v>
      </c>
      <c r="J16" s="2">
        <v>8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</row>
    <row r="17" spans="1:26" ht="43" customHeight="1" x14ac:dyDescent="0.2">
      <c r="A17" s="3">
        <v>16</v>
      </c>
      <c r="B17" s="2">
        <v>39</v>
      </c>
      <c r="C17" s="2">
        <v>12</v>
      </c>
      <c r="D17" s="2">
        <v>16</v>
      </c>
      <c r="E17" s="2">
        <v>37</v>
      </c>
      <c r="F17" s="2">
        <v>25</v>
      </c>
      <c r="G17" s="2">
        <v>2</v>
      </c>
      <c r="H17" s="2">
        <v>21</v>
      </c>
      <c r="I17" s="2">
        <v>39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</row>
    <row r="18" spans="1:26" ht="43" customHeight="1" x14ac:dyDescent="0.2">
      <c r="A18" s="3">
        <v>17</v>
      </c>
      <c r="B18" s="2">
        <v>42</v>
      </c>
      <c r="C18" s="2">
        <v>7</v>
      </c>
      <c r="D18" s="2">
        <v>6</v>
      </c>
      <c r="E18" s="2">
        <v>188</v>
      </c>
      <c r="F18" s="2">
        <v>8</v>
      </c>
      <c r="G18" s="2">
        <v>2</v>
      </c>
      <c r="H18" s="2">
        <v>12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</row>
    <row r="19" spans="1:26" ht="43" customHeight="1" x14ac:dyDescent="0.2">
      <c r="A19" s="3">
        <v>18</v>
      </c>
      <c r="B19" s="2">
        <v>38</v>
      </c>
      <c r="C19" s="2">
        <v>3</v>
      </c>
      <c r="D19" s="2">
        <v>39</v>
      </c>
      <c r="E19" s="2">
        <v>34</v>
      </c>
      <c r="F19" s="2">
        <v>5</v>
      </c>
      <c r="G19" s="2">
        <v>5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</row>
    <row r="20" spans="1:26" ht="43" customHeight="1" x14ac:dyDescent="0.2">
      <c r="A20" s="3">
        <v>19</v>
      </c>
      <c r="B20" s="2">
        <v>11</v>
      </c>
      <c r="C20" s="2">
        <v>30</v>
      </c>
      <c r="D20" s="2">
        <v>8</v>
      </c>
      <c r="E20" s="2">
        <v>23</v>
      </c>
      <c r="F20" s="2">
        <v>3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</row>
    <row r="21" spans="1:26" ht="43" customHeight="1" x14ac:dyDescent="0.2">
      <c r="A21" s="3">
        <v>20</v>
      </c>
      <c r="B21" s="2">
        <v>55</v>
      </c>
      <c r="C21" s="2">
        <v>9</v>
      </c>
      <c r="D21" s="2">
        <v>9</v>
      </c>
      <c r="E21" s="2">
        <v>20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</row>
    <row r="22" spans="1:26" ht="43" customHeight="1" x14ac:dyDescent="0.2">
      <c r="A22" s="3">
        <v>21</v>
      </c>
      <c r="B22" s="2">
        <v>7</v>
      </c>
      <c r="C22" s="2">
        <v>6</v>
      </c>
      <c r="D22" s="2">
        <v>5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</row>
    <row r="23" spans="1:26" ht="43" customHeight="1" x14ac:dyDescent="0.2">
      <c r="A23" s="3">
        <v>22</v>
      </c>
      <c r="B23" s="2">
        <v>16</v>
      </c>
      <c r="C23" s="2">
        <v>1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</row>
    <row r="24" spans="1:26" ht="43" customHeight="1" x14ac:dyDescent="0.2">
      <c r="A24" s="3">
        <v>23</v>
      </c>
      <c r="B24" s="2">
        <v>11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</row>
    <row r="25" spans="1:26" ht="43" customHeight="1" x14ac:dyDescent="0.2">
      <c r="A25" s="3">
        <v>24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</row>
    <row r="26" spans="1:26" ht="43" customHeight="1" x14ac:dyDescent="0.2">
      <c r="A26" s="3">
        <v>25</v>
      </c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</row>
  </sheetData>
  <conditionalFormatting sqref="B2:Z2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3">
      <colorScale>
        <cfvo type="min"/>
        <cfvo type="max"/>
        <color theme="0"/>
        <color rgb="FFFF0000"/>
      </colorScale>
    </cfRule>
  </conditionalFormatting>
  <conditionalFormatting sqref="T12">
    <cfRule type="colorScale" priority="2">
      <colorScale>
        <cfvo type="min"/>
        <cfvo type="max"/>
        <color theme="5" tint="0.79998168889431442"/>
        <color rgb="FFFF000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cas9_combined</vt:lpstr>
      <vt:lpstr>cas12a_XL_combined</vt:lpstr>
      <vt:lpstr>cas9_XL_5overhang</vt:lpstr>
      <vt:lpstr>cas9_XL_3overhang</vt:lpstr>
      <vt:lpstr>cas9_XL_blunt</vt:lpstr>
      <vt:lpstr>cas12a_XL_5overhang</vt:lpstr>
      <vt:lpstr>cas12a_XL_3overhang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2018-07-25T18:50:02Z</dcterms:created>
  <dcterms:modified xsi:type="dcterms:W3CDTF">2018-11-29T22:49:33Z</dcterms:modified>
</cp:coreProperties>
</file>